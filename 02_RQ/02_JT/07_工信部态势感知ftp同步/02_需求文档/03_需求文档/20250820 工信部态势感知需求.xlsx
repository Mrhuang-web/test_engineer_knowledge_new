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需求说明" sheetId="3" r:id="rId1"/>
    <sheet name="人工处理模板" sheetId="1" r:id="rId2"/>
    <sheet name="Dict" sheetId="2" state="hidden" r:id="rId3"/>
  </sheets>
  <definedNames>
    <definedName name="_xlnm._FilterDatabase" localSheetId="1" hidden="1">人工处理模板!$A$2:$AD$60</definedName>
    <definedName name="制冷方式">Dict!$A$2:$A$6</definedName>
    <definedName name="清洁能源类型">Dict!$C$2:$C$9</definedName>
    <definedName name="清洁能源来源">Dict!$D$2:$D$7</definedName>
    <definedName name="计算周期">Dict!$B$2:$B$5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<sst xmlns="http://schemas.openxmlformats.org/spreadsheetml/2006/main" count="247" uniqueCount="191">
  <si>
    <t>共享平台 ftps + csv信息（本周五上线）</t>
  </si>
  <si>
    <t>1）服务器地址：10.243.103.55：8003</t>
  </si>
  <si>
    <t>2）Sftp的账号密码：账号：dh_user密码：Dh_user@f99!</t>
  </si>
  <si>
    <t>3）服务器路径：/putdata/dh_user_data/DH_TSGZ_Q</t>
  </si>
  <si>
    <t>4）态势感知基础设施，文件名：DH_TSGZ_INFRASTRUCTURE_Q_yyyymm.csv</t>
  </si>
  <si>
    <t>5）分隔符为半角逗号（,）</t>
  </si>
  <si>
    <t>数据要求</t>
  </si>
  <si>
    <t>1）时间要求：每年1/4/7/10月初（7号6:00）发送上个季度的能耗数据</t>
  </si>
  <si>
    <t>2）数据要求：按自然季度（3个月）累计季度平均PUE，季度总用电，季度IT用电</t>
  </si>
  <si>
    <t>3）数据范围：数据中心（排除投产初期站点）</t>
  </si>
  <si>
    <t>字段名称</t>
  </si>
  <si>
    <t>解释</t>
  </si>
  <si>
    <t>数据来源与说明</t>
  </si>
  <si>
    <r>
      <rPr>
        <b/>
        <sz val="11"/>
        <color theme="1"/>
        <rFont val="Arial"/>
        <charset val="134"/>
        <scheme val="minor"/>
      </rPr>
      <t xml:space="preserve">英文字段
</t>
    </r>
    <r>
      <rPr>
        <b/>
        <sz val="11"/>
        <color rgb="FFFF0000"/>
        <rFont val="Arial"/>
        <charset val="134"/>
        <scheme val="minor"/>
      </rPr>
      <t>（共享平台希望动环能给出英文字段名，方便入库存储）</t>
    </r>
  </si>
  <si>
    <t>算力中心名称*</t>
  </si>
  <si>
    <t>北京XXX算力中心</t>
  </si>
  <si>
    <t>数据中心站点名称</t>
  </si>
  <si>
    <t>监测周期*</t>
  </si>
  <si>
    <t>每个月季度的最后一月：
2025-03
2025-06
2025-09
2025-12</t>
  </si>
  <si>
    <t>联系人姓名*</t>
  </si>
  <si>
    <t>小明</t>
  </si>
  <si>
    <t>站点负责人（取任意一个）</t>
  </si>
  <si>
    <t>联系人电话*</t>
  </si>
  <si>
    <t>138****1234</t>
  </si>
  <si>
    <t>站点负责人电话</t>
  </si>
  <si>
    <t>已完成基础机电配置机架数*</t>
  </si>
  <si>
    <t>不提供：空值</t>
  </si>
  <si>
    <t>已完成末端机电配置机架数*</t>
  </si>
  <si>
    <t>已上电机架数*</t>
  </si>
  <si>
    <t>月度实测PUE</t>
  </si>
  <si>
    <t>月度实测WUE</t>
  </si>
  <si>
    <t>月度用水量</t>
  </si>
  <si>
    <t>月度电力总消耗量</t>
  </si>
  <si>
    <t>125（当年月度累计值）</t>
  </si>
  <si>
    <t>月度IT系统耗电量</t>
  </si>
  <si>
    <t>100（当年月度累计值）</t>
  </si>
  <si>
    <t>月度清洁能源利用量</t>
  </si>
  <si>
    <t>季度实测PUE</t>
  </si>
  <si>
    <t>自然季度3个月平均PUE（保留3位）</t>
  </si>
  <si>
    <t>季度实测WUE</t>
  </si>
  <si>
    <t>季度用水量</t>
  </si>
  <si>
    <t>季度电力总消耗量</t>
  </si>
  <si>
    <t>125(季度新增值)</t>
  </si>
  <si>
    <t>自然季度3个月总用电（万度，保留2位小数）</t>
  </si>
  <si>
    <t>季度IT系统耗电量</t>
  </si>
  <si>
    <t>100（季度新增值）</t>
  </si>
  <si>
    <t>自然季度3个月IT用电（万度，保留2位小数）</t>
  </si>
  <si>
    <t>季度清洁能源利用量</t>
  </si>
  <si>
    <t>年度实测PUE</t>
  </si>
  <si>
    <t>年度实测WUE</t>
  </si>
  <si>
    <t>年度用水量</t>
  </si>
  <si>
    <t>年度电力总消耗量</t>
  </si>
  <si>
    <t>年度IT系统耗电量</t>
  </si>
  <si>
    <t>年度清洁能源利用量</t>
  </si>
  <si>
    <t>清洁能源类型*</t>
  </si>
  <si>
    <t>太阳能,水能</t>
  </si>
  <si>
    <t>清洁能源来源*</t>
  </si>
  <si>
    <t>绿电市场化交易,购买绿证</t>
  </si>
  <si>
    <t>中国移动长三角（苏州）数据中心</t>
  </si>
  <si>
    <t>周琪</t>
  </si>
  <si>
    <t>中国移动成渝（成都）数据中心</t>
  </si>
  <si>
    <t>段堤</t>
  </si>
  <si>
    <t>中国移动成渝（成都）南区枢纽数据中心</t>
  </si>
  <si>
    <t>唐伟林</t>
  </si>
  <si>
    <t>中国移动成渝（成都）西区枢纽数据中心</t>
  </si>
  <si>
    <t>曾为民</t>
  </si>
  <si>
    <t>中国移动成渝（重庆）两江新区数据中心</t>
  </si>
  <si>
    <t>李耀飞</t>
  </si>
  <si>
    <t>中国移动（呼和浩特）数据中心</t>
  </si>
  <si>
    <t>张建雪</t>
  </si>
  <si>
    <t>中国移动（贵阳）数据中心</t>
  </si>
  <si>
    <t>慕少锋</t>
  </si>
  <si>
    <t>中国移动（宁夏中卫）数据中心</t>
  </si>
  <si>
    <t>张立</t>
  </si>
  <si>
    <t>中国移动（哈尔滨）数据中心</t>
  </si>
  <si>
    <t>杨宇哲</t>
  </si>
  <si>
    <t>中国移动国际信息港</t>
  </si>
  <si>
    <t>张晓宇</t>
  </si>
  <si>
    <t>北京基地</t>
  </si>
  <si>
    <t>芦晓明</t>
  </si>
  <si>
    <t>中国移动京津冀（保定）数据中心</t>
  </si>
  <si>
    <t>张俞</t>
  </si>
  <si>
    <t>中国移动京津冀（廊坊）数据中心</t>
  </si>
  <si>
    <t>李雪涛</t>
  </si>
  <si>
    <t>中国移动京津冀（石家庄）数据中心</t>
  </si>
  <si>
    <t>魏延斌</t>
  </si>
  <si>
    <t>中国移动京津冀(天津)数据中心</t>
  </si>
  <si>
    <t>王玮</t>
  </si>
  <si>
    <t>中国移动南方基地</t>
  </si>
  <si>
    <t>陈楚达</t>
  </si>
  <si>
    <t>中国移动粤港澳（广州）数据中心</t>
  </si>
  <si>
    <t>黄俊敏</t>
  </si>
  <si>
    <t>中国移动粤港澳（东莞）数据中心</t>
  </si>
  <si>
    <t>连献红</t>
  </si>
  <si>
    <t>中国移动粤港澳（佛山）数据中心</t>
  </si>
  <si>
    <t>吴佳凯</t>
  </si>
  <si>
    <t>中国移动（广东汕头）数据中心</t>
  </si>
  <si>
    <t>周烈俊</t>
  </si>
  <si>
    <t>中国移动（广东湛江）数据中心</t>
  </si>
  <si>
    <t>陈烽如</t>
  </si>
  <si>
    <t>中国移动长三角（宁波）数据中心</t>
  </si>
  <si>
    <t>柳小明</t>
  </si>
  <si>
    <t>中国移动长三角（金华）数据中心</t>
  </si>
  <si>
    <t>丰术</t>
  </si>
  <si>
    <t>中国移动长三角（杭州）数据中心</t>
  </si>
  <si>
    <t>顾勇勇</t>
  </si>
  <si>
    <t>中国移动长三角（绍兴）数据中心</t>
  </si>
  <si>
    <t>吴钦</t>
  </si>
  <si>
    <t>中国移动长三角（无锡）数据中心</t>
  </si>
  <si>
    <t>朱雷雷</t>
  </si>
  <si>
    <t>中国移动长三角（南京）数据中心</t>
  </si>
  <si>
    <t>颜士军</t>
  </si>
  <si>
    <t>中国移动长三角（上海）临港数据中心</t>
  </si>
  <si>
    <t>吴刚</t>
  </si>
  <si>
    <t>中国移动长三角（淮南）数据中心</t>
  </si>
  <si>
    <t>王虎</t>
  </si>
  <si>
    <t>中国移动长三角（合肥）习友路数据中心</t>
  </si>
  <si>
    <t>张俊杰</t>
  </si>
  <si>
    <t>中国移动（山东济南）数据中心</t>
  </si>
  <si>
    <t>房超</t>
  </si>
  <si>
    <t>中国移动（山东青岛）数据中心</t>
  </si>
  <si>
    <t>叶震宇</t>
  </si>
  <si>
    <t>中国移动（辽宁沈阳）数据中心</t>
  </si>
  <si>
    <t>张海波</t>
  </si>
  <si>
    <t>中国移动（辽宁大连）数据中心</t>
  </si>
  <si>
    <t>蔡弘鼎</t>
  </si>
  <si>
    <t>中国移动（福建厦门）数据中心</t>
  </si>
  <si>
    <t>张骁</t>
  </si>
  <si>
    <t>中国移动（福建福州）数据中心</t>
  </si>
  <si>
    <t>林仙灿</t>
  </si>
  <si>
    <t>中国移动（海南海口）数据中心</t>
  </si>
  <si>
    <t>何秀强</t>
  </si>
  <si>
    <t>中国移动（河南郑州高新区）数据中心</t>
  </si>
  <si>
    <t>申亚伟</t>
  </si>
  <si>
    <t>中国移动（河南郑州航空港区）数据中心</t>
  </si>
  <si>
    <t>李宇民</t>
  </si>
  <si>
    <t>中国移动（湖南株洲）数据中心</t>
  </si>
  <si>
    <t>钟鲁平</t>
  </si>
  <si>
    <t>中国移动（湖南长沙）数据中心</t>
  </si>
  <si>
    <t>蒋斐</t>
  </si>
  <si>
    <t>中国移动（湖北襄阳）数据中心</t>
  </si>
  <si>
    <t>丁江波</t>
  </si>
  <si>
    <t>中国移动（湖北武汉）数据中心</t>
  </si>
  <si>
    <t>何升龙</t>
  </si>
  <si>
    <t>中国移动（山西太原）数据中心</t>
  </si>
  <si>
    <t>陈鑫</t>
  </si>
  <si>
    <t>中国移动（吉林高新）数据中心</t>
  </si>
  <si>
    <t>张雨墨</t>
  </si>
  <si>
    <t>中国移动（江西南昌）数据中心</t>
  </si>
  <si>
    <t>张凤全</t>
  </si>
  <si>
    <t>中国移动（陕西西咸新区）数据中心</t>
  </si>
  <si>
    <t>田程军</t>
  </si>
  <si>
    <t>中国移动（云南昆明）数据中心</t>
  </si>
  <si>
    <t>刘艳辉</t>
  </si>
  <si>
    <t>中国移动（新疆克拉玛依）数据中心</t>
  </si>
  <si>
    <t>王怡</t>
  </si>
  <si>
    <t>中国移动（新疆昌吉）数据中心</t>
  </si>
  <si>
    <t>邬滨</t>
  </si>
  <si>
    <t>中国移动（甘肃兰州）数据中心</t>
  </si>
  <si>
    <t>王雷</t>
  </si>
  <si>
    <t>中国移动（青海海东）数据中心</t>
  </si>
  <si>
    <t>唐金财</t>
  </si>
  <si>
    <t>中国移动（广西南宁）数据中心</t>
  </si>
  <si>
    <t>沈文彬</t>
  </si>
  <si>
    <t>提示：
1. 第1行为示例数据，请勿删除或修改
2. 请从第2行开始填写，格式需与示例保持一致
3. 带*号为必填项
4. 如有疑问请联系：xxx（xxx@xxxx.com）
5. 请在导入数据前删除本提示</t>
  </si>
  <si>
    <t>制冷方式</t>
  </si>
  <si>
    <t>计算周期</t>
  </si>
  <si>
    <t>清洁能源类型</t>
  </si>
  <si>
    <t>清洁能源来源</t>
  </si>
  <si>
    <t>风冷</t>
  </si>
  <si>
    <t>1个月</t>
  </si>
  <si>
    <t>太阳能</t>
  </si>
  <si>
    <t>绿电市场化交易</t>
  </si>
  <si>
    <t>水冷</t>
  </si>
  <si>
    <t>3个月</t>
  </si>
  <si>
    <t>水能</t>
  </si>
  <si>
    <t>自建清洁能源设施</t>
  </si>
  <si>
    <t>液冷</t>
  </si>
  <si>
    <t>6个月</t>
  </si>
  <si>
    <t>风能</t>
  </si>
  <si>
    <t>购买绿证</t>
  </si>
  <si>
    <t>混合</t>
  </si>
  <si>
    <t>1年</t>
  </si>
  <si>
    <t>生物质能</t>
  </si>
  <si>
    <t>源网荷储一体化项目</t>
  </si>
  <si>
    <t>其它</t>
  </si>
  <si>
    <t>氢能</t>
  </si>
  <si>
    <t>其他来源</t>
  </si>
  <si>
    <t>地热能</t>
  </si>
  <si>
    <t>未使用</t>
  </si>
  <si>
    <t>核能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</si>
</sst>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0.00_);[Red]\(0.00\)"/>
    <numFmt numFmtId="178" formatCode="0.000_);[Red]\(0.000\)"/>
  </numFmts>
  <fonts count="31">
    <font>
      <sz val="11"/>
      <color theme="1"/>
      <name val="Arial"/>
      <charset val="134"/>
      <scheme val="minor"/>
    </font>
    <font>
      <sz val="11"/>
      <name val="Times New Roman"/>
      <charset val="134"/>
    </font>
    <font>
      <sz val="10.5"/>
      <color rgb="FFFCFCFA"/>
      <name val="Consolas"/>
      <charset val="134"/>
    </font>
    <font>
      <sz val="10.5"/>
      <color theme="1"/>
      <name val="Consolas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1"/>
      <name val="宋体"/>
      <charset val="134"/>
    </font>
    <font>
      <b/>
      <sz val="14"/>
      <name val="宋体"/>
      <charset val="134"/>
    </font>
    <font>
      <b/>
      <sz val="12"/>
      <color rgb="FFFF0000"/>
      <name val="宋体"/>
      <charset val="134"/>
    </font>
    <font>
      <b/>
      <sz val="11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FF0000"/>
      <name val="Arial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176" fontId="4" fillId="0" borderId="0" xfId="0" applyNumberFormat="1" applyFont="1" applyAlignment="1" applyProtection="1">
      <alignment horizontal="left"/>
      <protection locked="0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left"/>
    </xf>
    <xf numFmtId="176" fontId="5" fillId="0" borderId="1" xfId="0" applyNumberFormat="1" applyFont="1" applyBorder="1" applyAlignment="1" applyProtection="1">
      <alignment horizontal="left"/>
    </xf>
    <xf numFmtId="0" fontId="5" fillId="0" borderId="1" xfId="0" applyFont="1" applyBorder="1" applyAlignment="1" applyProtection="1">
      <alignment horizontal="left" vertical="center"/>
    </xf>
    <xf numFmtId="0" fontId="5" fillId="0" borderId="1" xfId="0" applyFont="1" applyBorder="1" applyProtection="1"/>
    <xf numFmtId="0" fontId="5" fillId="0" borderId="0" xfId="0" applyFont="1" applyProtection="1"/>
    <xf numFmtId="0" fontId="8" fillId="0" borderId="0" xfId="0" applyFont="1" applyAlignment="1" applyProtection="1">
      <alignment wrapText="1"/>
    </xf>
    <xf numFmtId="0" fontId="6" fillId="0" borderId="1" xfId="0" applyFont="1" applyBorder="1" applyAlignment="1" applyProtection="1">
      <alignment wrapText="1"/>
      <protection locked="0"/>
    </xf>
    <xf numFmtId="176" fontId="6" fillId="0" borderId="1" xfId="0" applyNumberFormat="1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177" fontId="6" fillId="0" borderId="1" xfId="0" applyNumberFormat="1" applyFont="1" applyBorder="1" applyAlignment="1" applyProtection="1">
      <alignment horizontal="center"/>
      <protection locked="0"/>
    </xf>
    <xf numFmtId="177" fontId="6" fillId="0" borderId="1" xfId="0" applyNumberFormat="1" applyFont="1" applyBorder="1" applyAlignment="1" applyProtection="1">
      <alignment horizontal="right"/>
      <protection locked="0"/>
    </xf>
    <xf numFmtId="177" fontId="6" fillId="0" borderId="1" xfId="0" applyNumberFormat="1" applyFont="1" applyBorder="1" applyAlignment="1" applyProtection="1">
      <alignment horizontal="left"/>
      <protection locked="0"/>
    </xf>
    <xf numFmtId="178" fontId="6" fillId="0" borderId="1" xfId="0" applyNumberFormat="1" applyFont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wrapText="1"/>
      <protection locked="0"/>
    </xf>
    <xf numFmtId="176" fontId="6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7" fillId="2" borderId="1" xfId="0" applyNumberFormat="1" applyFont="1" applyFill="1" applyBorder="1" applyAlignment="1" applyProtection="1">
      <alignment horizontal="left" vertical="center" wrapText="1"/>
    </xf>
    <xf numFmtId="176" fontId="5" fillId="0" borderId="1" xfId="0" applyNumberFormat="1" applyFont="1" applyBorder="1" applyAlignment="1" applyProtection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10" workbookViewId="0">
      <selection activeCell="A25" sqref="A25"/>
    </sheetView>
  </sheetViews>
  <sheetFormatPr defaultColWidth="9" defaultRowHeight="14" outlineLevelCol="3"/>
  <cols>
    <col min="1" max="1" width="74.75" style="33" customWidth="1"/>
    <col min="2" max="2" width="26.125" style="33" customWidth="1"/>
    <col min="3" max="3" width="41.5833333333333" style="33" customWidth="1"/>
    <col min="4" max="4" width="27.25" style="33" customWidth="1"/>
    <col min="5" max="16384" width="9" style="33"/>
  </cols>
  <sheetData>
    <row r="1" spans="1:4">
      <c r="A1" s="34" t="s">
        <v>0</v>
      </c>
    </row>
    <row r="2" spans="1:4">
      <c r="A2" s="33" t="s">
        <v>1</v>
      </c>
    </row>
    <row r="3" spans="1:4">
      <c r="A3" s="33" t="s">
        <v>2</v>
      </c>
    </row>
    <row r="4" spans="1:4">
      <c r="A4" s="33" t="s">
        <v>3</v>
      </c>
    </row>
    <row r="5" spans="1:4">
      <c r="A5" s="33" t="s">
        <v>4</v>
      </c>
    </row>
    <row r="6" spans="1:4">
      <c r="A6" s="33" t="s">
        <v>5</v>
      </c>
    </row>
    <row r="7" spans="1:4">
      <c r="A7" s="34" t="s">
        <v>6</v>
      </c>
    </row>
    <row r="8" spans="1:4">
      <c r="A8" s="33" t="s">
        <v>7</v>
      </c>
    </row>
    <row r="9" spans="1:4">
      <c r="A9" s="33" t="s">
        <v>8</v>
      </c>
    </row>
    <row r="10" spans="1:4">
      <c r="A10" s="33" t="s">
        <v>9</v>
      </c>
    </row>
    <row r="11" ht="42" spans="1:4">
      <c r="A11" s="35" t="s">
        <v>10</v>
      </c>
      <c r="B11" s="35" t="s">
        <v>11</v>
      </c>
      <c r="C11" s="36" t="s">
        <v>12</v>
      </c>
      <c r="D11" s="37" t="s">
        <v>13</v>
      </c>
    </row>
    <row r="12" ht="17.5" spans="1:4">
      <c r="A12" s="38" t="s">
        <v>14</v>
      </c>
      <c r="B12" s="13" t="s">
        <v>15</v>
      </c>
      <c r="C12" s="39" t="s">
        <v>16</v>
      </c>
      <c r="D12" s="40"/>
    </row>
    <row r="13" ht="70" spans="1:4">
      <c r="A13" s="41" t="s">
        <v>17</v>
      </c>
      <c r="B13" s="42">
        <v>45717</v>
      </c>
      <c r="C13" s="40" t="s">
        <v>18</v>
      </c>
      <c r="D13" s="39"/>
    </row>
    <row r="14" ht="17.5" spans="1:4">
      <c r="A14" s="38" t="s">
        <v>19</v>
      </c>
      <c r="B14" s="13" t="s">
        <v>20</v>
      </c>
      <c r="C14" s="39" t="s">
        <v>21</v>
      </c>
      <c r="D14" s="39"/>
    </row>
    <row r="15" ht="17.5" spans="1:4">
      <c r="A15" s="38" t="s">
        <v>22</v>
      </c>
      <c r="B15" s="13" t="s">
        <v>23</v>
      </c>
      <c r="C15" s="39" t="s">
        <v>24</v>
      </c>
      <c r="D15" s="39"/>
    </row>
    <row r="16" ht="17.5" spans="1:4">
      <c r="A16" s="38" t="s">
        <v>25</v>
      </c>
      <c r="B16" s="13">
        <v>1000</v>
      </c>
      <c r="C16" s="43" t="s">
        <v>26</v>
      </c>
      <c r="D16" s="39"/>
    </row>
    <row r="17" ht="17.5" spans="1:4">
      <c r="A17" s="38" t="s">
        <v>27</v>
      </c>
      <c r="B17" s="13">
        <v>900</v>
      </c>
      <c r="C17" s="43" t="s">
        <v>26</v>
      </c>
      <c r="D17" s="39"/>
    </row>
    <row r="18" ht="17.5" spans="1:4">
      <c r="A18" s="38" t="s">
        <v>28</v>
      </c>
      <c r="B18" s="13">
        <v>800</v>
      </c>
      <c r="C18" s="43" t="s">
        <v>26</v>
      </c>
      <c r="D18" s="39"/>
    </row>
    <row r="19" ht="17.5" spans="1:4">
      <c r="A19" s="38" t="s">
        <v>29</v>
      </c>
      <c r="B19" s="13">
        <v>1.25</v>
      </c>
      <c r="C19" s="43" t="s">
        <v>26</v>
      </c>
      <c r="D19" s="39"/>
    </row>
    <row r="20" ht="17.5" spans="1:4">
      <c r="A20" s="38" t="s">
        <v>30</v>
      </c>
      <c r="B20" s="13">
        <v>2.25</v>
      </c>
      <c r="C20" s="43" t="s">
        <v>26</v>
      </c>
      <c r="D20" s="39"/>
    </row>
    <row r="21" ht="17.5" spans="1:4">
      <c r="A21" s="38" t="s">
        <v>31</v>
      </c>
      <c r="B21" s="13">
        <v>2250</v>
      </c>
      <c r="C21" s="43" t="s">
        <v>26</v>
      </c>
      <c r="D21" s="39"/>
    </row>
    <row r="22" ht="17.5" spans="1:4">
      <c r="A22" s="38" t="s">
        <v>32</v>
      </c>
      <c r="B22" s="13" t="s">
        <v>33</v>
      </c>
      <c r="C22" s="43" t="s">
        <v>26</v>
      </c>
      <c r="D22" s="39"/>
    </row>
    <row r="23" ht="17.5" spans="1:4">
      <c r="A23" s="38" t="s">
        <v>34</v>
      </c>
      <c r="B23" s="13" t="s">
        <v>35</v>
      </c>
      <c r="C23" s="43" t="s">
        <v>26</v>
      </c>
      <c r="D23" s="39"/>
    </row>
    <row r="24" ht="17.5" spans="1:4">
      <c r="A24" s="38" t="s">
        <v>36</v>
      </c>
      <c r="B24" s="13">
        <v>20</v>
      </c>
      <c r="C24" s="43" t="s">
        <v>26</v>
      </c>
      <c r="D24" s="39"/>
    </row>
    <row r="25" ht="17.5" spans="1:4">
      <c r="A25" s="38" t="s">
        <v>37</v>
      </c>
      <c r="B25" s="13">
        <v>1.25</v>
      </c>
      <c r="C25" s="39" t="s">
        <v>38</v>
      </c>
      <c r="D25" s="39"/>
    </row>
    <row r="26" ht="17.5" spans="1:4">
      <c r="A26" s="38" t="s">
        <v>39</v>
      </c>
      <c r="B26" s="13">
        <v>2.25</v>
      </c>
      <c r="C26" s="43" t="s">
        <v>26</v>
      </c>
      <c r="D26" s="39"/>
    </row>
    <row r="27" ht="17.5" spans="1:4">
      <c r="A27" s="38" t="s">
        <v>40</v>
      </c>
      <c r="B27" s="13">
        <v>2250</v>
      </c>
      <c r="C27" s="43" t="s">
        <v>26</v>
      </c>
      <c r="D27" s="39"/>
    </row>
    <row r="28" ht="17.5" spans="1:4">
      <c r="A28" s="38" t="s">
        <v>41</v>
      </c>
      <c r="B28" s="13" t="s">
        <v>42</v>
      </c>
      <c r="C28" s="39" t="s">
        <v>43</v>
      </c>
      <c r="D28" s="39"/>
    </row>
    <row r="29" ht="17.5" spans="1:4">
      <c r="A29" s="38" t="s">
        <v>44</v>
      </c>
      <c r="B29" s="13" t="s">
        <v>45</v>
      </c>
      <c r="C29" s="39" t="s">
        <v>46</v>
      </c>
      <c r="D29" s="39"/>
    </row>
    <row r="30" ht="17.5" spans="1:4">
      <c r="A30" s="38" t="s">
        <v>47</v>
      </c>
      <c r="B30" s="13">
        <v>20</v>
      </c>
      <c r="C30" s="43" t="s">
        <v>26</v>
      </c>
      <c r="D30" s="39"/>
    </row>
    <row r="31" ht="17.5" spans="1:4">
      <c r="A31" s="38" t="s">
        <v>48</v>
      </c>
      <c r="B31" s="13">
        <v>1.25</v>
      </c>
      <c r="C31" s="43" t="s">
        <v>26</v>
      </c>
      <c r="D31" s="39"/>
    </row>
    <row r="32" ht="17.5" spans="1:4">
      <c r="A32" s="38" t="s">
        <v>49</v>
      </c>
      <c r="B32" s="13">
        <v>2.25</v>
      </c>
      <c r="C32" s="43" t="s">
        <v>26</v>
      </c>
      <c r="D32" s="39"/>
    </row>
    <row r="33" ht="17.5" spans="1:4">
      <c r="A33" s="38" t="s">
        <v>50</v>
      </c>
      <c r="B33" s="13">
        <v>2250</v>
      </c>
      <c r="C33" s="43" t="s">
        <v>26</v>
      </c>
      <c r="D33" s="39"/>
    </row>
    <row r="34" ht="17.5" spans="1:4">
      <c r="A34" s="38" t="s">
        <v>51</v>
      </c>
      <c r="B34" s="13">
        <v>125</v>
      </c>
      <c r="C34" s="43" t="s">
        <v>26</v>
      </c>
      <c r="D34" s="39"/>
    </row>
    <row r="35" ht="17.5" spans="1:4">
      <c r="A35" s="38" t="s">
        <v>52</v>
      </c>
      <c r="B35" s="13">
        <v>100</v>
      </c>
      <c r="C35" s="43" t="s">
        <v>26</v>
      </c>
      <c r="D35" s="39"/>
    </row>
    <row r="36" ht="17.5" spans="1:4">
      <c r="A36" s="38" t="s">
        <v>53</v>
      </c>
      <c r="B36" s="13">
        <v>20</v>
      </c>
      <c r="C36" s="43" t="s">
        <v>26</v>
      </c>
      <c r="D36" s="39"/>
    </row>
    <row r="37" ht="17.5" spans="1:4">
      <c r="A37" s="38" t="s">
        <v>54</v>
      </c>
      <c r="B37" s="13" t="s">
        <v>55</v>
      </c>
      <c r="C37" s="43" t="s">
        <v>26</v>
      </c>
      <c r="D37" s="39"/>
    </row>
    <row r="38" ht="17.5" spans="1:4">
      <c r="A38" s="38" t="s">
        <v>56</v>
      </c>
      <c r="B38" s="13" t="s">
        <v>57</v>
      </c>
      <c r="C38" s="43" t="s">
        <v>26</v>
      </c>
      <c r="D38" s="39"/>
    </row>
  </sheetData>
  <dataValidations count="10">
    <dataValidation allowBlank="1" showErrorMessage="1" promptTitle="格式提醒:" prompt="采集周期按YYYY-MM的格式输入" sqref="A13"/>
    <dataValidation allowBlank="1" showInputMessage="1" showErrorMessage="1" promptTitle="格式提醒:" prompt="采集周期按YYYY-MM的格式输入" sqref="B13"/>
    <dataValidation allowBlank="1" showErrorMessage="1" promptTitle="单位:" prompt="吨" sqref="A21 A27 A33"/>
    <dataValidation allowBlank="1" showInputMessage="1" showErrorMessage="1" promptTitle="单位:" prompt="吨" sqref="B21 B27 B33"/>
    <dataValidation allowBlank="1" showErrorMessage="1" promptTitle="清洁能源类型:" prompt="太阳能,水能,风能,生物质能,氢能,地热能,核能,未使用" sqref="A37"/>
    <dataValidation allowBlank="1" showInputMessage="1" showErrorMessage="1" promptTitle="清洁能源类型:" prompt="太阳能,水能,风能,生物质能,氢能,地热能,核能,未使用" sqref="B37"/>
    <dataValidation allowBlank="1" showErrorMessage="1" promptTitle="请用半角英文逗号分隔:" prompt="绿电市场化交易,自建清洁能源设施,购买绿证,源网荷储一体化项目,其他来源,未使用" sqref="A38"/>
    <dataValidation allowBlank="1" showInputMessage="1" showErrorMessage="1" promptTitle="请用半角英文逗号分隔:" prompt="绿电市场化交易,自建清洁能源设施,购买绿证,源网荷储一体化项目,其他来源,未使用" sqref="B38"/>
    <dataValidation allowBlank="1" showErrorMessage="1" promptTitle="单位:" prompt="万千瓦时" sqref="A22:A24 A28:A30 A34:A36"/>
    <dataValidation allowBlank="1" showInputMessage="1" showErrorMessage="1" promptTitle="单位:" prompt="万千瓦时" sqref="B22:B24 B28:B30 B34:B3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7"/>
  <sheetViews>
    <sheetView zoomScale="110" zoomScaleNormal="110" topLeftCell="G1" workbookViewId="0">
      <pane ySplit="1" topLeftCell="A2" activePane="bottomLeft" state="frozen"/>
      <selection/>
      <selection pane="bottomLeft" activeCell="N5" sqref="N5"/>
    </sheetView>
  </sheetViews>
  <sheetFormatPr defaultColWidth="9" defaultRowHeight="14"/>
  <cols>
    <col min="1" max="1" width="35.2166666666667" style="7" customWidth="1"/>
    <col min="2" max="2" width="18.3583333333333" style="8" customWidth="1"/>
    <col min="3" max="4" width="14.75" style="7" customWidth="1"/>
    <col min="5" max="5" width="33.3833333333333" style="7" customWidth="1"/>
    <col min="6" max="6" width="32.6" style="7" customWidth="1"/>
    <col min="7" max="7" width="20.7083333333333" style="7" customWidth="1"/>
    <col min="8" max="8" width="17.825" style="7" customWidth="1"/>
    <col min="9" max="9" width="19.0416666666667" style="7" customWidth="1"/>
    <col min="10" max="10" width="17.3916666666667" style="7" customWidth="1"/>
    <col min="11" max="11" width="20.3416666666667" style="7" customWidth="1"/>
    <col min="12" max="12" width="25.475" style="7" customWidth="1"/>
    <col min="13" max="13" width="26.8666666666667" style="7" customWidth="1"/>
    <col min="14" max="14" width="18.425" style="7" customWidth="1"/>
    <col min="15" max="15" width="17.9083333333333" style="7" customWidth="1"/>
    <col min="16" max="16" width="13.375" style="7" customWidth="1"/>
    <col min="17" max="17" width="22.3416666666667" style="7" customWidth="1"/>
    <col min="18" max="18" width="22.8666666666667" style="7" customWidth="1"/>
    <col min="19" max="19" width="23.6416666666667" style="7" customWidth="1"/>
    <col min="20" max="20" width="18.425" style="7" customWidth="1"/>
    <col min="21" max="21" width="17.9083333333333" style="7" customWidth="1"/>
    <col min="22" max="22" width="17.3833333333333" style="7" customWidth="1"/>
    <col min="23" max="23" width="22.3416666666667" style="7" customWidth="1"/>
    <col min="24" max="24" width="22.8666666666667" style="7" customWidth="1"/>
    <col min="25" max="25" width="23.6416666666667" style="7" customWidth="1"/>
    <col min="26" max="27" width="30.7083333333333" style="7" customWidth="1"/>
    <col min="28" max="16376" width="40.7083333333333" style="7" customWidth="1"/>
    <col min="16377" max="16384" width="9" style="7"/>
  </cols>
  <sheetData>
    <row r="1" s="4" customFormat="1" ht="27" customHeight="1" spans="1:30">
      <c r="A1" s="9" t="s">
        <v>14</v>
      </c>
      <c r="B1" s="10" t="s">
        <v>17</v>
      </c>
      <c r="C1" s="9" t="s">
        <v>19</v>
      </c>
      <c r="D1" s="9" t="s">
        <v>22</v>
      </c>
      <c r="E1" s="9" t="s">
        <v>25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34</v>
      </c>
      <c r="M1" s="9" t="s">
        <v>36</v>
      </c>
      <c r="N1" s="9" t="s">
        <v>37</v>
      </c>
      <c r="O1" s="9" t="s">
        <v>39</v>
      </c>
      <c r="P1" s="9" t="s">
        <v>40</v>
      </c>
      <c r="Q1" s="9" t="s">
        <v>41</v>
      </c>
      <c r="R1" s="9" t="s">
        <v>44</v>
      </c>
      <c r="S1" s="9" t="s">
        <v>47</v>
      </c>
      <c r="T1" s="9" t="s">
        <v>48</v>
      </c>
      <c r="U1" s="9" t="s">
        <v>49</v>
      </c>
      <c r="V1" s="9" t="s">
        <v>50</v>
      </c>
      <c r="W1" s="9" t="s">
        <v>51</v>
      </c>
      <c r="X1" s="9" t="s">
        <v>52</v>
      </c>
      <c r="Y1" s="9" t="s">
        <v>53</v>
      </c>
      <c r="Z1" s="9" t="s">
        <v>54</v>
      </c>
      <c r="AA1" s="9" t="s">
        <v>56</v>
      </c>
    </row>
    <row r="2" s="5" customFormat="1" ht="15" spans="1:30">
      <c r="A2" s="11" t="s">
        <v>15</v>
      </c>
      <c r="B2" s="12">
        <v>45717</v>
      </c>
      <c r="C2" s="11" t="s">
        <v>20</v>
      </c>
      <c r="D2" s="11" t="s">
        <v>23</v>
      </c>
      <c r="E2" s="11">
        <v>1000</v>
      </c>
      <c r="F2" s="11">
        <v>900</v>
      </c>
      <c r="G2" s="13">
        <v>800</v>
      </c>
      <c r="H2" s="11">
        <v>1.25</v>
      </c>
      <c r="I2" s="11">
        <v>2.25</v>
      </c>
      <c r="J2" s="11">
        <v>2250</v>
      </c>
      <c r="K2" s="11" t="s">
        <v>33</v>
      </c>
      <c r="L2" s="11" t="s">
        <v>35</v>
      </c>
      <c r="M2" s="11">
        <v>20</v>
      </c>
      <c r="N2" s="11">
        <v>1.25</v>
      </c>
      <c r="O2" s="11">
        <v>2.25</v>
      </c>
      <c r="P2" s="11">
        <v>2250</v>
      </c>
      <c r="Q2" s="11" t="s">
        <v>42</v>
      </c>
      <c r="R2" s="11" t="s">
        <v>45</v>
      </c>
      <c r="S2" s="11">
        <v>20</v>
      </c>
      <c r="T2" s="11">
        <v>1.25</v>
      </c>
      <c r="U2" s="11">
        <v>2.25</v>
      </c>
      <c r="V2" s="11">
        <v>2250</v>
      </c>
      <c r="W2" s="11">
        <v>125</v>
      </c>
      <c r="X2" s="11">
        <v>100</v>
      </c>
      <c r="Y2" s="11">
        <v>20</v>
      </c>
      <c r="Z2" s="14" t="s">
        <v>55</v>
      </c>
      <c r="AA2" s="11" t="s">
        <v>57</v>
      </c>
      <c r="AC2" s="15"/>
      <c r="AD2" s="16"/>
    </row>
    <row r="3" s="6" customFormat="1" spans="1:30">
      <c r="A3" s="17" t="s">
        <v>58</v>
      </c>
      <c r="B3" s="18">
        <v>45809</v>
      </c>
      <c r="C3" s="19" t="s">
        <v>59</v>
      </c>
      <c r="D3" s="19">
        <v>15850258989</v>
      </c>
      <c r="E3" s="19"/>
      <c r="F3" s="20">
        <v>10635</v>
      </c>
      <c r="G3" s="20">
        <v>9034</v>
      </c>
      <c r="H3" s="21">
        <f>K3/L3</f>
        <v>1.21165607436208</v>
      </c>
      <c r="I3" s="19"/>
      <c r="J3" s="19"/>
      <c r="K3" s="22">
        <v>216325164</v>
      </c>
      <c r="L3" s="22">
        <v>178536771.76</v>
      </c>
      <c r="M3" s="23"/>
      <c r="N3" s="24">
        <f>Q3/R3</f>
        <v>1.24370903179343</v>
      </c>
      <c r="O3" s="23"/>
      <c r="P3" s="23"/>
      <c r="Q3" s="22">
        <v>114269760</v>
      </c>
      <c r="R3" s="22">
        <v>91878210.32</v>
      </c>
      <c r="S3" s="19"/>
      <c r="T3" s="19"/>
      <c r="U3" s="19"/>
      <c r="V3" s="19"/>
      <c r="W3" s="19"/>
      <c r="X3" s="19"/>
      <c r="Y3" s="19"/>
      <c r="Z3" s="19"/>
      <c r="AA3" s="19"/>
      <c r="AC3" s="25"/>
    </row>
    <row r="4" s="6" customFormat="1" spans="1:30">
      <c r="A4" s="17" t="s">
        <v>60</v>
      </c>
      <c r="B4" s="18">
        <v>45809</v>
      </c>
      <c r="C4" s="19" t="s">
        <v>61</v>
      </c>
      <c r="D4" s="19">
        <v>18328082934</v>
      </c>
      <c r="E4" s="19"/>
      <c r="F4" s="20">
        <v>10034</v>
      </c>
      <c r="G4" s="20">
        <v>2816</v>
      </c>
      <c r="H4" s="21">
        <f t="shared" ref="H4:H35" si="0">K4/L4</f>
        <v>1.30085962763693</v>
      </c>
      <c r="I4" s="19"/>
      <c r="J4" s="19"/>
      <c r="K4" s="22">
        <v>109076098.63</v>
      </c>
      <c r="L4" s="22">
        <v>83849245.77</v>
      </c>
      <c r="M4" s="23"/>
      <c r="N4" s="24">
        <f t="shared" ref="N4:N35" si="1">Q4/R4</f>
        <v>1.33822957604925</v>
      </c>
      <c r="O4" s="23"/>
      <c r="P4" s="23"/>
      <c r="Q4" s="22">
        <v>56632366.47</v>
      </c>
      <c r="R4" s="22">
        <v>42318872.25</v>
      </c>
      <c r="S4" s="19"/>
      <c r="T4" s="19"/>
      <c r="U4" s="19"/>
      <c r="V4" s="19"/>
      <c r="W4" s="19"/>
      <c r="X4" s="19"/>
      <c r="Y4" s="19"/>
      <c r="Z4" s="19"/>
      <c r="AA4" s="19"/>
      <c r="AC4" s="25"/>
    </row>
    <row r="5" s="6" customFormat="1" spans="1:30">
      <c r="A5" s="17" t="s">
        <v>62</v>
      </c>
      <c r="B5" s="18">
        <v>45809</v>
      </c>
      <c r="C5" s="19" t="s">
        <v>63</v>
      </c>
      <c r="D5" s="19">
        <v>13540009462</v>
      </c>
      <c r="E5" s="19"/>
      <c r="F5" s="20">
        <v>4021</v>
      </c>
      <c r="G5" s="20">
        <v>1486</v>
      </c>
      <c r="H5" s="21">
        <f t="shared" si="0"/>
        <v>1.28879822010611</v>
      </c>
      <c r="I5" s="19"/>
      <c r="J5" s="19"/>
      <c r="K5" s="22">
        <v>26801418.1</v>
      </c>
      <c r="L5" s="22">
        <v>20795666.6</v>
      </c>
      <c r="M5" s="23"/>
      <c r="N5" s="24">
        <f t="shared" si="1"/>
        <v>1.34287546623258</v>
      </c>
      <c r="O5" s="23"/>
      <c r="P5" s="23"/>
      <c r="Q5" s="22">
        <v>14362895.9</v>
      </c>
      <c r="R5" s="22">
        <v>10695627.6</v>
      </c>
      <c r="S5" s="19"/>
      <c r="T5" s="19"/>
      <c r="U5" s="19"/>
      <c r="V5" s="19"/>
      <c r="W5" s="19"/>
      <c r="X5" s="19"/>
      <c r="Y5" s="19"/>
      <c r="Z5" s="19"/>
      <c r="AA5" s="19"/>
      <c r="AC5" s="25"/>
    </row>
    <row r="6" s="6" customFormat="1" spans="1:30">
      <c r="A6" s="17" t="s">
        <v>64</v>
      </c>
      <c r="B6" s="18">
        <v>45809</v>
      </c>
      <c r="C6" s="19" t="s">
        <v>65</v>
      </c>
      <c r="D6" s="19">
        <v>13708010005</v>
      </c>
      <c r="E6" s="19"/>
      <c r="F6" s="20">
        <v>5673</v>
      </c>
      <c r="G6" s="20">
        <v>1265</v>
      </c>
      <c r="H6" s="21">
        <f t="shared" si="0"/>
        <v>1.41890504846043</v>
      </c>
      <c r="I6" s="19"/>
      <c r="J6" s="19"/>
      <c r="K6" s="22">
        <v>57386838.7</v>
      </c>
      <c r="L6" s="22">
        <v>40444453.11</v>
      </c>
      <c r="M6" s="23"/>
      <c r="N6" s="24">
        <f t="shared" si="1"/>
        <v>1.45177264125577</v>
      </c>
      <c r="O6" s="23"/>
      <c r="P6" s="23"/>
      <c r="Q6" s="22">
        <v>29505282.63</v>
      </c>
      <c r="R6" s="22">
        <v>20323624.92</v>
      </c>
      <c r="S6" s="19"/>
      <c r="T6" s="19"/>
      <c r="U6" s="19"/>
      <c r="V6" s="19"/>
      <c r="W6" s="19"/>
      <c r="X6" s="19"/>
      <c r="Y6" s="19"/>
      <c r="Z6" s="19"/>
      <c r="AA6" s="19"/>
      <c r="AC6" s="25"/>
    </row>
    <row r="7" s="6" customFormat="1" spans="1:30">
      <c r="A7" s="17" t="s">
        <v>66</v>
      </c>
      <c r="B7" s="18">
        <v>45809</v>
      </c>
      <c r="C7" s="19" t="s">
        <v>67</v>
      </c>
      <c r="D7" s="19">
        <v>13983243225</v>
      </c>
      <c r="E7" s="19"/>
      <c r="F7" s="20">
        <v>12210</v>
      </c>
      <c r="G7" s="20">
        <v>4686</v>
      </c>
      <c r="H7" s="21">
        <f t="shared" si="0"/>
        <v>1.27921403514698</v>
      </c>
      <c r="I7" s="19"/>
      <c r="J7" s="19"/>
      <c r="K7" s="22">
        <v>133763469.22</v>
      </c>
      <c r="L7" s="22">
        <v>104566918.08</v>
      </c>
      <c r="M7" s="23"/>
      <c r="N7" s="24">
        <f t="shared" si="1"/>
        <v>1.31757586984699</v>
      </c>
      <c r="O7" s="23"/>
      <c r="P7" s="23"/>
      <c r="Q7" s="22">
        <v>72277664.33</v>
      </c>
      <c r="R7" s="22">
        <v>54856548.29</v>
      </c>
      <c r="S7" s="19"/>
      <c r="T7" s="19"/>
      <c r="U7" s="19"/>
      <c r="V7" s="19"/>
      <c r="W7" s="19"/>
      <c r="X7" s="19"/>
      <c r="Y7" s="19"/>
      <c r="Z7" s="19"/>
      <c r="AA7" s="19"/>
      <c r="AC7" s="25"/>
    </row>
    <row r="8" s="6" customFormat="1" spans="1:30">
      <c r="A8" s="26" t="s">
        <v>68</v>
      </c>
      <c r="B8" s="18">
        <v>45809</v>
      </c>
      <c r="C8" s="19" t="s">
        <v>69</v>
      </c>
      <c r="D8" s="19">
        <v>18748164609</v>
      </c>
      <c r="E8" s="19"/>
      <c r="F8" s="20">
        <v>25807</v>
      </c>
      <c r="G8" s="20">
        <v>18021</v>
      </c>
      <c r="H8" s="21">
        <f t="shared" si="0"/>
        <v>1.20108432480348</v>
      </c>
      <c r="I8" s="19"/>
      <c r="J8" s="19"/>
      <c r="K8" s="22">
        <v>339739208.45</v>
      </c>
      <c r="L8" s="22">
        <v>282860413.24</v>
      </c>
      <c r="M8" s="23"/>
      <c r="N8" s="24">
        <f t="shared" si="1"/>
        <v>1.24138805081471</v>
      </c>
      <c r="O8" s="23"/>
      <c r="P8" s="23"/>
      <c r="Q8" s="22">
        <v>176181871.41</v>
      </c>
      <c r="R8" s="22">
        <v>141923286.03</v>
      </c>
      <c r="S8" s="19"/>
      <c r="T8" s="19"/>
      <c r="U8" s="19"/>
      <c r="V8" s="19"/>
      <c r="W8" s="19"/>
      <c r="X8" s="19"/>
      <c r="Y8" s="19"/>
      <c r="Z8" s="19"/>
      <c r="AA8" s="19"/>
      <c r="AC8" s="25"/>
    </row>
    <row r="9" s="6" customFormat="1" spans="1:30">
      <c r="A9" s="26" t="s">
        <v>70</v>
      </c>
      <c r="B9" s="18">
        <v>45809</v>
      </c>
      <c r="C9" s="19" t="s">
        <v>71</v>
      </c>
      <c r="D9" s="19">
        <v>13908519730</v>
      </c>
      <c r="E9" s="19"/>
      <c r="F9" s="20">
        <v>13250</v>
      </c>
      <c r="G9" s="20">
        <v>9364</v>
      </c>
      <c r="H9" s="21">
        <f t="shared" si="0"/>
        <v>1.28205460543297</v>
      </c>
      <c r="I9" s="19"/>
      <c r="J9" s="19"/>
      <c r="K9" s="22">
        <v>117225426.76</v>
      </c>
      <c r="L9" s="22">
        <v>91435595.85</v>
      </c>
      <c r="M9" s="23"/>
      <c r="N9" s="24">
        <f t="shared" si="1"/>
        <v>1.33586129518899</v>
      </c>
      <c r="O9" s="23"/>
      <c r="P9" s="23"/>
      <c r="Q9" s="22">
        <v>61079684.68</v>
      </c>
      <c r="R9" s="22">
        <v>45723073.87</v>
      </c>
      <c r="S9" s="19"/>
      <c r="T9" s="19"/>
      <c r="U9" s="19"/>
      <c r="V9" s="19"/>
      <c r="W9" s="19"/>
      <c r="X9" s="19"/>
      <c r="Y9" s="19"/>
      <c r="Z9" s="19"/>
      <c r="AA9" s="19"/>
      <c r="AC9" s="25"/>
    </row>
    <row r="10" s="6" customFormat="1" spans="1:30">
      <c r="A10" s="17" t="s">
        <v>72</v>
      </c>
      <c r="B10" s="18">
        <v>45809</v>
      </c>
      <c r="C10" s="19" t="s">
        <v>73</v>
      </c>
      <c r="D10" s="19">
        <v>18295551099</v>
      </c>
      <c r="E10" s="19"/>
      <c r="F10" s="20">
        <v>3006</v>
      </c>
      <c r="G10" s="20">
        <v>2840</v>
      </c>
      <c r="H10" s="21">
        <f t="shared" si="0"/>
        <v>1.22439961240411</v>
      </c>
      <c r="I10" s="19"/>
      <c r="J10" s="19"/>
      <c r="K10" s="22">
        <v>93359576.83</v>
      </c>
      <c r="L10" s="22">
        <v>76249270.16</v>
      </c>
      <c r="M10" s="23"/>
      <c r="N10" s="24">
        <f t="shared" si="1"/>
        <v>1.26056224071407</v>
      </c>
      <c r="O10" s="23"/>
      <c r="P10" s="23"/>
      <c r="Q10" s="22">
        <v>51350009.8</v>
      </c>
      <c r="R10" s="22">
        <v>40735798.79</v>
      </c>
      <c r="S10" s="19"/>
      <c r="T10" s="19"/>
      <c r="U10" s="19"/>
      <c r="V10" s="19"/>
      <c r="W10" s="19"/>
      <c r="X10" s="19"/>
      <c r="Y10" s="19"/>
      <c r="Z10" s="19"/>
      <c r="AA10" s="19"/>
      <c r="AC10" s="25"/>
    </row>
    <row r="11" s="6" customFormat="1" spans="1:30">
      <c r="A11" s="26" t="s">
        <v>74</v>
      </c>
      <c r="B11" s="18">
        <v>45809</v>
      </c>
      <c r="C11" s="27" t="s">
        <v>75</v>
      </c>
      <c r="D11" s="27">
        <v>15904500069</v>
      </c>
      <c r="E11" s="19"/>
      <c r="F11" s="28">
        <v>19134</v>
      </c>
      <c r="G11" s="28">
        <v>18953</v>
      </c>
      <c r="H11" s="21">
        <f t="shared" si="0"/>
        <v>1.28183044049838</v>
      </c>
      <c r="I11" s="19"/>
      <c r="J11" s="19"/>
      <c r="K11" s="22">
        <v>243951389.8</v>
      </c>
      <c r="L11" s="22">
        <v>190314867</v>
      </c>
      <c r="M11" s="23"/>
      <c r="N11" s="24">
        <f t="shared" si="1"/>
        <v>1.31476415694399</v>
      </c>
      <c r="O11" s="23"/>
      <c r="P11" s="23"/>
      <c r="Q11" s="22">
        <v>125262219.72</v>
      </c>
      <c r="R11" s="22">
        <v>95273528</v>
      </c>
      <c r="S11" s="19"/>
      <c r="T11" s="19"/>
      <c r="U11" s="19"/>
      <c r="V11" s="19"/>
      <c r="W11" s="19"/>
      <c r="X11" s="19"/>
      <c r="Y11" s="19"/>
      <c r="Z11" s="19"/>
      <c r="AA11" s="19"/>
      <c r="AC11" s="25"/>
    </row>
    <row r="12" s="6" customFormat="1" spans="1:30">
      <c r="A12" s="17" t="s">
        <v>76</v>
      </c>
      <c r="B12" s="18">
        <v>45809</v>
      </c>
      <c r="C12" s="27" t="s">
        <v>77</v>
      </c>
      <c r="D12" s="27">
        <v>13901211332</v>
      </c>
      <c r="E12" s="19"/>
      <c r="F12" s="28">
        <v>5820</v>
      </c>
      <c r="G12" s="28">
        <v>4559</v>
      </c>
      <c r="H12" s="21">
        <f t="shared" si="0"/>
        <v>1.28654459471147</v>
      </c>
      <c r="I12" s="19"/>
      <c r="J12" s="19"/>
      <c r="K12" s="22">
        <v>55919398.74</v>
      </c>
      <c r="L12" s="22">
        <v>43464796.3</v>
      </c>
      <c r="M12" s="23"/>
      <c r="N12" s="24">
        <f t="shared" si="1"/>
        <v>1.35322256235561</v>
      </c>
      <c r="O12" s="23"/>
      <c r="P12" s="23"/>
      <c r="Q12" s="22">
        <v>29946785.94</v>
      </c>
      <c r="R12" s="22">
        <v>22129978.3</v>
      </c>
      <c r="S12" s="19"/>
      <c r="T12" s="19"/>
      <c r="U12" s="19"/>
      <c r="V12" s="19"/>
      <c r="W12" s="19"/>
      <c r="X12" s="19"/>
      <c r="Y12" s="19"/>
      <c r="Z12" s="19"/>
      <c r="AA12" s="19"/>
      <c r="AC12" s="25"/>
    </row>
    <row r="13" s="6" customFormat="1" spans="1:30">
      <c r="A13" s="17" t="s">
        <v>78</v>
      </c>
      <c r="B13" s="18">
        <v>45809</v>
      </c>
      <c r="C13" s="27" t="s">
        <v>79</v>
      </c>
      <c r="D13" s="27">
        <v>13901287533</v>
      </c>
      <c r="E13" s="19"/>
      <c r="F13" s="28">
        <v>6151</v>
      </c>
      <c r="G13" s="28">
        <v>4624</v>
      </c>
      <c r="H13" s="21">
        <f t="shared" si="0"/>
        <v>1.38688701604531</v>
      </c>
      <c r="I13" s="19"/>
      <c r="J13" s="19"/>
      <c r="K13" s="22">
        <v>62392211.61</v>
      </c>
      <c r="L13" s="22">
        <v>44987234.64</v>
      </c>
      <c r="M13" s="23"/>
      <c r="N13" s="24">
        <f t="shared" si="1"/>
        <v>1.39270772124364</v>
      </c>
      <c r="O13" s="23"/>
      <c r="P13" s="23"/>
      <c r="Q13" s="22">
        <v>31533006.87</v>
      </c>
      <c r="R13" s="22">
        <v>22641510.77</v>
      </c>
      <c r="S13" s="19"/>
      <c r="T13" s="19"/>
      <c r="U13" s="19"/>
      <c r="V13" s="19"/>
      <c r="W13" s="19"/>
      <c r="X13" s="19"/>
      <c r="Y13" s="19"/>
      <c r="Z13" s="19"/>
      <c r="AA13" s="19"/>
      <c r="AC13" s="25"/>
    </row>
    <row r="14" s="6" customFormat="1" spans="1:30">
      <c r="A14" s="17" t="s">
        <v>80</v>
      </c>
      <c r="B14" s="18">
        <v>45809</v>
      </c>
      <c r="C14" s="27" t="s">
        <v>81</v>
      </c>
      <c r="D14" s="27">
        <v>18830661866</v>
      </c>
      <c r="E14" s="19"/>
      <c r="F14" s="28">
        <v>6166</v>
      </c>
      <c r="G14" s="28">
        <v>4677</v>
      </c>
      <c r="H14" s="21">
        <f t="shared" si="0"/>
        <v>1.25363794777123</v>
      </c>
      <c r="I14" s="19"/>
      <c r="J14" s="19"/>
      <c r="K14" s="22">
        <v>66172369.12</v>
      </c>
      <c r="L14" s="22">
        <v>52784274.15</v>
      </c>
      <c r="M14" s="23"/>
      <c r="N14" s="24">
        <f t="shared" si="1"/>
        <v>1.30614857595296</v>
      </c>
      <c r="O14" s="23"/>
      <c r="P14" s="23"/>
      <c r="Q14" s="22">
        <v>34413901.51</v>
      </c>
      <c r="R14" s="22">
        <v>26347616.3</v>
      </c>
      <c r="S14" s="19"/>
      <c r="T14" s="19"/>
      <c r="U14" s="19"/>
      <c r="V14" s="19"/>
      <c r="W14" s="19"/>
      <c r="X14" s="19"/>
      <c r="Y14" s="19"/>
      <c r="Z14" s="19"/>
      <c r="AA14" s="19"/>
      <c r="AC14" s="25"/>
    </row>
    <row r="15" s="6" customFormat="1" spans="1:30">
      <c r="A15" s="17" t="s">
        <v>82</v>
      </c>
      <c r="B15" s="18">
        <v>45809</v>
      </c>
      <c r="C15" s="27" t="s">
        <v>83</v>
      </c>
      <c r="D15" s="27">
        <v>13731610004</v>
      </c>
      <c r="E15" s="19"/>
      <c r="F15" s="28">
        <v>7673</v>
      </c>
      <c r="G15" s="28">
        <v>4396</v>
      </c>
      <c r="H15" s="21">
        <f t="shared" si="0"/>
        <v>1.29690216875312</v>
      </c>
      <c r="I15" s="19"/>
      <c r="J15" s="19"/>
      <c r="K15" s="22">
        <v>54791686.3</v>
      </c>
      <c r="L15" s="22">
        <v>42248126.05</v>
      </c>
      <c r="M15" s="23"/>
      <c r="N15" s="24">
        <f t="shared" si="1"/>
        <v>1.35402650349326</v>
      </c>
      <c r="O15" s="23"/>
      <c r="P15" s="23"/>
      <c r="Q15" s="22">
        <v>28890739.07</v>
      </c>
      <c r="R15" s="22">
        <v>21336908.1</v>
      </c>
      <c r="S15" s="19"/>
      <c r="T15" s="19"/>
      <c r="U15" s="19"/>
      <c r="V15" s="19"/>
      <c r="W15" s="19"/>
      <c r="X15" s="19"/>
      <c r="Y15" s="19"/>
      <c r="Z15" s="19"/>
      <c r="AA15" s="19"/>
      <c r="AC15" s="25"/>
    </row>
    <row r="16" s="6" customFormat="1" spans="1:30">
      <c r="A16" s="17" t="s">
        <v>84</v>
      </c>
      <c r="B16" s="18">
        <v>45809</v>
      </c>
      <c r="C16" s="27" t="s">
        <v>85</v>
      </c>
      <c r="D16" s="27">
        <v>18832109307</v>
      </c>
      <c r="E16" s="19"/>
      <c r="F16" s="28">
        <v>4782</v>
      </c>
      <c r="G16" s="28">
        <v>3206</v>
      </c>
      <c r="H16" s="21">
        <f t="shared" si="0"/>
        <v>1.27200533004359</v>
      </c>
      <c r="I16" s="19"/>
      <c r="J16" s="19"/>
      <c r="K16" s="22">
        <v>49788983.87</v>
      </c>
      <c r="L16" s="22">
        <v>39142118.9</v>
      </c>
      <c r="M16" s="23"/>
      <c r="N16" s="24">
        <f t="shared" si="1"/>
        <v>1.31932554366968</v>
      </c>
      <c r="O16" s="23"/>
      <c r="P16" s="23"/>
      <c r="Q16" s="22">
        <v>26494791.76</v>
      </c>
      <c r="R16" s="22">
        <v>20082072.91</v>
      </c>
      <c r="S16" s="19"/>
      <c r="T16" s="19"/>
      <c r="U16" s="19"/>
      <c r="V16" s="19"/>
      <c r="W16" s="19"/>
      <c r="X16" s="19"/>
      <c r="Y16" s="19"/>
      <c r="Z16" s="19"/>
      <c r="AA16" s="19"/>
      <c r="AC16" s="25"/>
    </row>
    <row r="17" s="6" customFormat="1" spans="1:29">
      <c r="A17" s="17" t="s">
        <v>86</v>
      </c>
      <c r="B17" s="18">
        <v>45809</v>
      </c>
      <c r="C17" s="27" t="s">
        <v>87</v>
      </c>
      <c r="D17" s="27">
        <v>13902010716</v>
      </c>
      <c r="E17" s="19"/>
      <c r="F17" s="28">
        <v>6856</v>
      </c>
      <c r="G17" s="28">
        <v>2740</v>
      </c>
      <c r="H17" s="21">
        <f t="shared" si="0"/>
        <v>1.24056019014509</v>
      </c>
      <c r="I17" s="19"/>
      <c r="J17" s="19"/>
      <c r="K17" s="22">
        <v>48454167.77</v>
      </c>
      <c r="L17" s="22">
        <v>39058296.53</v>
      </c>
      <c r="M17" s="23"/>
      <c r="N17" s="24">
        <f t="shared" si="1"/>
        <v>1.27940993697584</v>
      </c>
      <c r="O17" s="23"/>
      <c r="P17" s="23"/>
      <c r="Q17" s="22">
        <v>25625228.1</v>
      </c>
      <c r="R17" s="22">
        <v>20028942.53</v>
      </c>
      <c r="S17" s="19"/>
      <c r="T17" s="19"/>
      <c r="U17" s="19"/>
      <c r="V17" s="19"/>
      <c r="W17" s="19"/>
      <c r="X17" s="19"/>
      <c r="Y17" s="19"/>
      <c r="Z17" s="19"/>
      <c r="AA17" s="19"/>
      <c r="AC17" s="25"/>
    </row>
    <row r="18" s="6" customFormat="1" spans="1:29">
      <c r="A18" s="17" t="s">
        <v>88</v>
      </c>
      <c r="B18" s="18">
        <v>45809</v>
      </c>
      <c r="C18" s="27" t="s">
        <v>89</v>
      </c>
      <c r="D18" s="27">
        <v>13802880846</v>
      </c>
      <c r="E18" s="19"/>
      <c r="F18" s="28">
        <v>5165</v>
      </c>
      <c r="G18" s="28">
        <v>3935</v>
      </c>
      <c r="H18" s="21">
        <f t="shared" si="0"/>
        <v>1.32613086050129</v>
      </c>
      <c r="I18" s="19"/>
      <c r="J18" s="19"/>
      <c r="K18" s="22">
        <v>61773172.37</v>
      </c>
      <c r="L18" s="22">
        <v>46581505.8</v>
      </c>
      <c r="M18" s="23"/>
      <c r="N18" s="24">
        <f t="shared" si="1"/>
        <v>1.3211541979052</v>
      </c>
      <c r="O18" s="23"/>
      <c r="P18" s="23"/>
      <c r="Q18" s="22">
        <v>31417432.59</v>
      </c>
      <c r="R18" s="22">
        <v>23780291.99</v>
      </c>
      <c r="S18" s="19"/>
      <c r="T18" s="19"/>
      <c r="U18" s="19"/>
      <c r="V18" s="19"/>
      <c r="W18" s="19"/>
      <c r="X18" s="19"/>
      <c r="Y18" s="19"/>
      <c r="Z18" s="19"/>
      <c r="AA18" s="19"/>
      <c r="AC18" s="25"/>
    </row>
    <row r="19" s="6" customFormat="1" spans="1:29">
      <c r="A19" s="17" t="s">
        <v>90</v>
      </c>
      <c r="B19" s="18">
        <v>45809</v>
      </c>
      <c r="C19" s="27" t="s">
        <v>91</v>
      </c>
      <c r="D19" s="27">
        <v>13802881719</v>
      </c>
      <c r="E19" s="19"/>
      <c r="F19" s="28">
        <v>3451</v>
      </c>
      <c r="G19" s="28">
        <v>2420</v>
      </c>
      <c r="H19" s="21">
        <f t="shared" si="0"/>
        <v>1.35811838859913</v>
      </c>
      <c r="I19" s="19"/>
      <c r="J19" s="19"/>
      <c r="K19" s="22">
        <v>57885978.1</v>
      </c>
      <c r="L19" s="22">
        <v>42622188.6</v>
      </c>
      <c r="M19" s="23"/>
      <c r="N19" s="24">
        <f t="shared" si="1"/>
        <v>1.37046497924223</v>
      </c>
      <c r="O19" s="23"/>
      <c r="P19" s="23"/>
      <c r="Q19" s="22">
        <v>30122728.45</v>
      </c>
      <c r="R19" s="22">
        <v>21979933.02</v>
      </c>
      <c r="S19" s="19"/>
      <c r="T19" s="19"/>
      <c r="U19" s="19"/>
      <c r="V19" s="19"/>
      <c r="W19" s="19"/>
      <c r="X19" s="19"/>
      <c r="Y19" s="19"/>
      <c r="Z19" s="19"/>
      <c r="AA19" s="19"/>
      <c r="AC19" s="25"/>
    </row>
    <row r="20" s="6" customFormat="1" spans="1:29">
      <c r="A20" s="17" t="s">
        <v>92</v>
      </c>
      <c r="B20" s="18">
        <v>45809</v>
      </c>
      <c r="C20" s="27" t="s">
        <v>93</v>
      </c>
      <c r="D20" s="27">
        <v>13922995766</v>
      </c>
      <c r="E20" s="19"/>
      <c r="F20" s="28">
        <v>3998</v>
      </c>
      <c r="G20" s="28">
        <v>3029</v>
      </c>
      <c r="H20" s="21">
        <f t="shared" si="0"/>
        <v>1.34214474325941</v>
      </c>
      <c r="I20" s="19"/>
      <c r="J20" s="19"/>
      <c r="K20" s="22">
        <v>57660447.17</v>
      </c>
      <c r="L20" s="22">
        <v>42961422.35</v>
      </c>
      <c r="M20" s="23"/>
      <c r="N20" s="24">
        <f t="shared" si="1"/>
        <v>1.35471086257756</v>
      </c>
      <c r="O20" s="23"/>
      <c r="P20" s="23"/>
      <c r="Q20" s="22">
        <v>29128101.31</v>
      </c>
      <c r="R20" s="22">
        <v>21501341.81</v>
      </c>
      <c r="S20" s="19"/>
      <c r="T20" s="19"/>
      <c r="U20" s="19"/>
      <c r="V20" s="19"/>
      <c r="W20" s="19"/>
      <c r="X20" s="19"/>
      <c r="Y20" s="19"/>
      <c r="Z20" s="19"/>
      <c r="AA20" s="19"/>
      <c r="AC20" s="25"/>
    </row>
    <row r="21" s="6" customFormat="1" spans="1:29">
      <c r="A21" s="17" t="s">
        <v>94</v>
      </c>
      <c r="B21" s="18">
        <v>45809</v>
      </c>
      <c r="C21" s="27" t="s">
        <v>95</v>
      </c>
      <c r="D21" s="29">
        <v>13923205553</v>
      </c>
      <c r="E21" s="19"/>
      <c r="F21" s="28">
        <v>4115</v>
      </c>
      <c r="G21" s="28">
        <v>855</v>
      </c>
      <c r="H21" s="21">
        <f t="shared" si="0"/>
        <v>1.34643185609466</v>
      </c>
      <c r="I21" s="19"/>
      <c r="J21" s="19"/>
      <c r="K21" s="22">
        <v>42218662.83</v>
      </c>
      <c r="L21" s="22">
        <v>31355959.56</v>
      </c>
      <c r="M21" s="23"/>
      <c r="N21" s="24">
        <f t="shared" si="1"/>
        <v>1.37231682536034</v>
      </c>
      <c r="O21" s="23"/>
      <c r="P21" s="23"/>
      <c r="Q21" s="22">
        <v>21799827.95</v>
      </c>
      <c r="R21" s="22">
        <v>15885419.13</v>
      </c>
      <c r="S21" s="19"/>
      <c r="T21" s="19"/>
      <c r="U21" s="19"/>
      <c r="V21" s="19"/>
      <c r="W21" s="19"/>
      <c r="X21" s="19"/>
      <c r="Y21" s="19"/>
      <c r="Z21" s="19"/>
      <c r="AA21" s="19"/>
      <c r="AC21" s="25"/>
    </row>
    <row r="22" s="6" customFormat="1" spans="1:29">
      <c r="A22" s="17" t="s">
        <v>96</v>
      </c>
      <c r="B22" s="18">
        <v>45809</v>
      </c>
      <c r="C22" s="27" t="s">
        <v>97</v>
      </c>
      <c r="D22" s="27">
        <v>13509889274</v>
      </c>
      <c r="E22" s="19"/>
      <c r="F22" s="28">
        <v>6410</v>
      </c>
      <c r="G22" s="28">
        <v>3042</v>
      </c>
      <c r="H22" s="21">
        <f t="shared" si="0"/>
        <v>1.36259633645129</v>
      </c>
      <c r="I22" s="19"/>
      <c r="J22" s="19"/>
      <c r="K22" s="22">
        <v>77922220.11</v>
      </c>
      <c r="L22" s="22">
        <v>57186576.85</v>
      </c>
      <c r="M22" s="23"/>
      <c r="N22" s="24">
        <f t="shared" si="1"/>
        <v>1.3762166276293</v>
      </c>
      <c r="O22" s="23"/>
      <c r="P22" s="23"/>
      <c r="Q22" s="22">
        <v>40107061.1</v>
      </c>
      <c r="R22" s="22">
        <v>29142985.41</v>
      </c>
      <c r="S22" s="19"/>
      <c r="T22" s="19"/>
      <c r="U22" s="19"/>
      <c r="V22" s="19"/>
      <c r="W22" s="19"/>
      <c r="X22" s="19"/>
      <c r="Y22" s="19"/>
      <c r="Z22" s="19"/>
      <c r="AA22" s="19"/>
      <c r="AC22" s="25"/>
    </row>
    <row r="23" s="6" customFormat="1" spans="1:29">
      <c r="A23" s="17" t="s">
        <v>98</v>
      </c>
      <c r="B23" s="18">
        <v>45809</v>
      </c>
      <c r="C23" s="27" t="s">
        <v>99</v>
      </c>
      <c r="D23" s="27">
        <v>13702720058</v>
      </c>
      <c r="E23" s="19"/>
      <c r="F23" s="28">
        <v>3318</v>
      </c>
      <c r="G23" s="28">
        <v>1630</v>
      </c>
      <c r="H23" s="21">
        <f t="shared" si="0"/>
        <v>1.35049485869603</v>
      </c>
      <c r="I23" s="19"/>
      <c r="J23" s="19"/>
      <c r="K23" s="22">
        <v>50649670</v>
      </c>
      <c r="L23" s="22">
        <v>37504526.34</v>
      </c>
      <c r="M23" s="23"/>
      <c r="N23" s="24">
        <f t="shared" si="1"/>
        <v>1.36799325787266</v>
      </c>
      <c r="O23" s="23"/>
      <c r="P23" s="23"/>
      <c r="Q23" s="22">
        <v>26250820</v>
      </c>
      <c r="R23" s="22">
        <v>19189290.48</v>
      </c>
      <c r="S23" s="19"/>
      <c r="T23" s="19"/>
      <c r="U23" s="19"/>
      <c r="V23" s="19"/>
      <c r="W23" s="19"/>
      <c r="X23" s="19"/>
      <c r="Y23" s="19"/>
      <c r="Z23" s="19"/>
      <c r="AA23" s="19"/>
      <c r="AC23" s="25"/>
    </row>
    <row r="24" s="6" customFormat="1" spans="1:29">
      <c r="A24" s="17" t="s">
        <v>100</v>
      </c>
      <c r="B24" s="18">
        <v>45809</v>
      </c>
      <c r="C24" s="27" t="s">
        <v>101</v>
      </c>
      <c r="D24" s="27">
        <v>13705745511</v>
      </c>
      <c r="E24" s="19"/>
      <c r="F24" s="28">
        <v>13717</v>
      </c>
      <c r="G24" s="28">
        <v>7832</v>
      </c>
      <c r="H24" s="21">
        <f t="shared" si="0"/>
        <v>1.21573843630259</v>
      </c>
      <c r="I24" s="19"/>
      <c r="J24" s="19"/>
      <c r="K24" s="22">
        <v>137877625.03</v>
      </c>
      <c r="L24" s="22">
        <v>113410599.61</v>
      </c>
      <c r="M24" s="23"/>
      <c r="N24" s="24">
        <f t="shared" si="1"/>
        <v>1.27493030000771</v>
      </c>
      <c r="O24" s="23"/>
      <c r="P24" s="23"/>
      <c r="Q24" s="22">
        <v>73304787.15</v>
      </c>
      <c r="R24" s="22">
        <v>57497093.88</v>
      </c>
      <c r="S24" s="19"/>
      <c r="T24" s="19"/>
      <c r="U24" s="19"/>
      <c r="V24" s="19"/>
      <c r="W24" s="19"/>
      <c r="X24" s="19"/>
      <c r="Y24" s="19"/>
      <c r="Z24" s="19"/>
      <c r="AA24" s="19"/>
      <c r="AC24" s="25"/>
    </row>
    <row r="25" s="6" customFormat="1" spans="1:29">
      <c r="A25" s="17" t="s">
        <v>102</v>
      </c>
      <c r="B25" s="18">
        <v>45809</v>
      </c>
      <c r="C25" s="27" t="s">
        <v>103</v>
      </c>
      <c r="D25" s="27">
        <v>13957990851</v>
      </c>
      <c r="E25" s="19"/>
      <c r="F25" s="28">
        <v>9048</v>
      </c>
      <c r="G25" s="28">
        <v>6253</v>
      </c>
      <c r="H25" s="21">
        <f t="shared" si="0"/>
        <v>1.22273350435625</v>
      </c>
      <c r="I25" s="19"/>
      <c r="J25" s="19"/>
      <c r="K25" s="22">
        <v>87467877.96</v>
      </c>
      <c r="L25" s="22">
        <v>71534702.9</v>
      </c>
      <c r="M25" s="23"/>
      <c r="N25" s="24">
        <f t="shared" si="1"/>
        <v>1.2745056074861</v>
      </c>
      <c r="O25" s="23"/>
      <c r="P25" s="23"/>
      <c r="Q25" s="22">
        <v>46783537.04</v>
      </c>
      <c r="R25" s="22">
        <v>36707203.77</v>
      </c>
      <c r="S25" s="19"/>
      <c r="T25" s="19"/>
      <c r="U25" s="19"/>
      <c r="V25" s="19"/>
      <c r="W25" s="19"/>
      <c r="X25" s="19"/>
      <c r="Y25" s="19"/>
      <c r="Z25" s="19"/>
      <c r="AA25" s="19"/>
      <c r="AC25" s="25"/>
    </row>
    <row r="26" s="6" customFormat="1" spans="1:29">
      <c r="A26" s="17" t="s">
        <v>104</v>
      </c>
      <c r="B26" s="18">
        <v>45809</v>
      </c>
      <c r="C26" s="27" t="s">
        <v>105</v>
      </c>
      <c r="D26" s="27">
        <v>13735868856</v>
      </c>
      <c r="E26" s="19"/>
      <c r="F26" s="28">
        <v>7521</v>
      </c>
      <c r="G26" s="28">
        <v>5209</v>
      </c>
      <c r="H26" s="21">
        <f t="shared" si="0"/>
        <v>1.28531606263116</v>
      </c>
      <c r="I26" s="19"/>
      <c r="J26" s="19"/>
      <c r="K26" s="22">
        <v>84690221.12</v>
      </c>
      <c r="L26" s="22">
        <v>65890580.21</v>
      </c>
      <c r="M26" s="23"/>
      <c r="N26" s="24">
        <f t="shared" si="1"/>
        <v>1.33045244799273</v>
      </c>
      <c r="O26" s="23"/>
      <c r="P26" s="23"/>
      <c r="Q26" s="22">
        <v>46072220.06</v>
      </c>
      <c r="R26" s="22">
        <v>34628986.65</v>
      </c>
      <c r="S26" s="19"/>
      <c r="T26" s="19"/>
      <c r="U26" s="19"/>
      <c r="V26" s="19"/>
      <c r="W26" s="19"/>
      <c r="X26" s="19"/>
      <c r="Y26" s="19"/>
      <c r="Z26" s="19"/>
      <c r="AA26" s="19"/>
      <c r="AC26" s="25"/>
    </row>
    <row r="27" s="6" customFormat="1" spans="1:29">
      <c r="A27" s="17" t="s">
        <v>106</v>
      </c>
      <c r="B27" s="18">
        <v>45809</v>
      </c>
      <c r="C27" s="27" t="s">
        <v>107</v>
      </c>
      <c r="D27" s="27">
        <v>13957521006</v>
      </c>
      <c r="E27" s="19"/>
      <c r="F27" s="28">
        <v>697</v>
      </c>
      <c r="G27" s="28">
        <v>195</v>
      </c>
      <c r="H27" s="21">
        <f t="shared" si="0"/>
        <v>1.27469151507724</v>
      </c>
      <c r="I27" s="19"/>
      <c r="J27" s="19"/>
      <c r="K27" s="22">
        <v>1954935.18</v>
      </c>
      <c r="L27" s="22">
        <v>1533653.56</v>
      </c>
      <c r="M27" s="23"/>
      <c r="N27" s="24">
        <f t="shared" si="1"/>
        <v>1.30553393511317</v>
      </c>
      <c r="O27" s="23"/>
      <c r="P27" s="23"/>
      <c r="Q27" s="22">
        <v>1175479.83</v>
      </c>
      <c r="R27" s="22">
        <v>900382.44</v>
      </c>
      <c r="S27" s="19"/>
      <c r="T27" s="19"/>
      <c r="U27" s="19"/>
      <c r="V27" s="19"/>
      <c r="W27" s="19"/>
      <c r="X27" s="19"/>
      <c r="Y27" s="19"/>
      <c r="Z27" s="19"/>
      <c r="AA27" s="19"/>
      <c r="AC27" s="25"/>
    </row>
    <row r="28" s="6" customFormat="1" spans="1:29">
      <c r="A28" s="17" t="s">
        <v>108</v>
      </c>
      <c r="B28" s="18">
        <v>45809</v>
      </c>
      <c r="C28" s="27" t="s">
        <v>109</v>
      </c>
      <c r="D28" s="27">
        <v>15995221003</v>
      </c>
      <c r="E28" s="19"/>
      <c r="F28" s="28">
        <v>10107</v>
      </c>
      <c r="G28" s="28">
        <v>6927</v>
      </c>
      <c r="H28" s="21">
        <f t="shared" si="0"/>
        <v>1.20994995705868</v>
      </c>
      <c r="I28" s="19"/>
      <c r="J28" s="19"/>
      <c r="K28" s="22">
        <v>109425683.26</v>
      </c>
      <c r="L28" s="22">
        <v>90438189.3</v>
      </c>
      <c r="M28" s="23"/>
      <c r="N28" s="24">
        <f t="shared" si="1"/>
        <v>1.25833227780094</v>
      </c>
      <c r="O28" s="23"/>
      <c r="P28" s="23"/>
      <c r="Q28" s="22">
        <v>58212324.4</v>
      </c>
      <c r="R28" s="22">
        <v>46261488.66</v>
      </c>
      <c r="S28" s="19"/>
      <c r="T28" s="19"/>
      <c r="U28" s="19"/>
      <c r="V28" s="19"/>
      <c r="W28" s="19"/>
      <c r="X28" s="19"/>
      <c r="Y28" s="19"/>
      <c r="Z28" s="19"/>
      <c r="AA28" s="19"/>
      <c r="AC28" s="25"/>
    </row>
    <row r="29" s="6" customFormat="1" spans="1:29">
      <c r="A29" s="17" t="s">
        <v>110</v>
      </c>
      <c r="B29" s="18">
        <v>45809</v>
      </c>
      <c r="C29" s="27" t="s">
        <v>111</v>
      </c>
      <c r="D29" s="27">
        <v>13905189093</v>
      </c>
      <c r="E29" s="19"/>
      <c r="F29" s="28">
        <v>16432</v>
      </c>
      <c r="G29" s="28">
        <v>11465</v>
      </c>
      <c r="H29" s="21">
        <f t="shared" si="0"/>
        <v>1.20706568738603</v>
      </c>
      <c r="I29" s="19"/>
      <c r="J29" s="19"/>
      <c r="K29" s="22">
        <v>263499672.31</v>
      </c>
      <c r="L29" s="22">
        <v>218297707.46</v>
      </c>
      <c r="M29" s="23"/>
      <c r="N29" s="24">
        <f t="shared" si="1"/>
        <v>1.23992784749561</v>
      </c>
      <c r="O29" s="23"/>
      <c r="P29" s="23"/>
      <c r="Q29" s="22">
        <v>140872670.4</v>
      </c>
      <c r="R29" s="22">
        <v>113613603.15</v>
      </c>
      <c r="S29" s="19"/>
      <c r="T29" s="19"/>
      <c r="U29" s="19"/>
      <c r="V29" s="19"/>
      <c r="W29" s="19"/>
      <c r="X29" s="19"/>
      <c r="Y29" s="19"/>
      <c r="Z29" s="19"/>
      <c r="AA29" s="19"/>
      <c r="AC29" s="25"/>
    </row>
    <row r="30" s="6" customFormat="1" spans="1:29">
      <c r="A30" s="17" t="s">
        <v>112</v>
      </c>
      <c r="B30" s="18">
        <v>45809</v>
      </c>
      <c r="C30" s="29" t="s">
        <v>113</v>
      </c>
      <c r="D30" s="27">
        <v>13818573210</v>
      </c>
      <c r="E30" s="19"/>
      <c r="F30" s="28">
        <v>12288</v>
      </c>
      <c r="G30" s="28">
        <v>2171</v>
      </c>
      <c r="H30" s="21">
        <f t="shared" si="0"/>
        <v>1.32961921534524</v>
      </c>
      <c r="I30" s="19"/>
      <c r="J30" s="19"/>
      <c r="K30" s="22">
        <v>76030354.66</v>
      </c>
      <c r="L30" s="22">
        <v>57182051.66</v>
      </c>
      <c r="M30" s="23"/>
      <c r="N30" s="24">
        <f t="shared" si="1"/>
        <v>1.342897207223</v>
      </c>
      <c r="O30" s="23"/>
      <c r="P30" s="23"/>
      <c r="Q30" s="22">
        <v>45610424.8</v>
      </c>
      <c r="R30" s="22">
        <v>33964196.63</v>
      </c>
      <c r="S30" s="19"/>
      <c r="T30" s="19"/>
      <c r="U30" s="19"/>
      <c r="V30" s="19"/>
      <c r="W30" s="19"/>
      <c r="X30" s="19"/>
      <c r="Y30" s="19"/>
      <c r="Z30" s="19"/>
      <c r="AA30" s="19"/>
      <c r="AC30" s="25"/>
    </row>
    <row r="31" s="6" customFormat="1" spans="1:29">
      <c r="A31" s="17" t="s">
        <v>114</v>
      </c>
      <c r="B31" s="18">
        <v>45809</v>
      </c>
      <c r="C31" s="27" t="s">
        <v>115</v>
      </c>
      <c r="D31" s="27">
        <v>13966691273</v>
      </c>
      <c r="E31" s="19"/>
      <c r="F31" s="28">
        <v>4731</v>
      </c>
      <c r="G31" s="28">
        <v>3306</v>
      </c>
      <c r="H31" s="21">
        <f t="shared" si="0"/>
        <v>1.24236558490383</v>
      </c>
      <c r="I31" s="19"/>
      <c r="J31" s="19"/>
      <c r="K31" s="22">
        <v>45515544.14</v>
      </c>
      <c r="L31" s="22">
        <v>36636192.03</v>
      </c>
      <c r="M31" s="23"/>
      <c r="N31" s="24">
        <f t="shared" si="1"/>
        <v>1.31881168689796</v>
      </c>
      <c r="O31" s="23"/>
      <c r="P31" s="23"/>
      <c r="Q31" s="22">
        <v>24474418.78</v>
      </c>
      <c r="R31" s="22">
        <v>18557932.89</v>
      </c>
      <c r="S31" s="19"/>
      <c r="T31" s="19"/>
      <c r="U31" s="19"/>
      <c r="V31" s="19"/>
      <c r="W31" s="19"/>
      <c r="X31" s="19"/>
      <c r="Y31" s="19"/>
      <c r="Z31" s="19"/>
      <c r="AA31" s="19"/>
      <c r="AC31" s="25"/>
    </row>
    <row r="32" s="6" customFormat="1" spans="1:29">
      <c r="A32" s="17" t="s">
        <v>116</v>
      </c>
      <c r="B32" s="18">
        <v>45809</v>
      </c>
      <c r="C32" s="27" t="s">
        <v>117</v>
      </c>
      <c r="D32" s="27">
        <v>13955119785</v>
      </c>
      <c r="E32" s="19"/>
      <c r="F32" s="28">
        <v>6612</v>
      </c>
      <c r="G32" s="28">
        <v>5098</v>
      </c>
      <c r="H32" s="21">
        <f t="shared" si="0"/>
        <v>1.22070492505436</v>
      </c>
      <c r="I32" s="19"/>
      <c r="J32" s="19"/>
      <c r="K32" s="22">
        <v>10817018.38</v>
      </c>
      <c r="L32" s="22">
        <v>8861288.39</v>
      </c>
      <c r="M32" s="23"/>
      <c r="N32" s="24">
        <f t="shared" si="1"/>
        <v>1.25739857486746</v>
      </c>
      <c r="O32" s="23"/>
      <c r="P32" s="23"/>
      <c r="Q32" s="22">
        <v>5945493.38</v>
      </c>
      <c r="R32" s="22">
        <v>4728407.92</v>
      </c>
      <c r="S32" s="19"/>
      <c r="T32" s="19"/>
      <c r="U32" s="19"/>
      <c r="V32" s="19"/>
      <c r="W32" s="19"/>
      <c r="X32" s="19"/>
      <c r="Y32" s="19"/>
      <c r="Z32" s="19"/>
      <c r="AA32" s="19"/>
      <c r="AC32" s="25"/>
    </row>
    <row r="33" s="6" customFormat="1" spans="1:29">
      <c r="A33" s="17" t="s">
        <v>118</v>
      </c>
      <c r="B33" s="18">
        <v>45809</v>
      </c>
      <c r="C33" s="27" t="s">
        <v>119</v>
      </c>
      <c r="D33" s="27">
        <v>13705319983</v>
      </c>
      <c r="E33" s="19"/>
      <c r="F33" s="28">
        <v>11747</v>
      </c>
      <c r="G33" s="28">
        <v>9643</v>
      </c>
      <c r="H33" s="21">
        <f t="shared" si="0"/>
        <v>1.25317616045428</v>
      </c>
      <c r="I33" s="19"/>
      <c r="J33" s="19"/>
      <c r="K33" s="22">
        <v>157470818.74</v>
      </c>
      <c r="L33" s="22">
        <v>125657368.62</v>
      </c>
      <c r="M33" s="23"/>
      <c r="N33" s="24">
        <f t="shared" si="1"/>
        <v>1.2822286116335</v>
      </c>
      <c r="O33" s="23"/>
      <c r="P33" s="23"/>
      <c r="Q33" s="22">
        <v>82875464.25</v>
      </c>
      <c r="R33" s="22">
        <v>64633922.14</v>
      </c>
      <c r="S33" s="19"/>
      <c r="T33" s="19"/>
      <c r="U33" s="19"/>
      <c r="V33" s="19"/>
      <c r="W33" s="19"/>
      <c r="X33" s="19"/>
      <c r="Y33" s="19"/>
      <c r="Z33" s="19"/>
      <c r="AA33" s="19"/>
      <c r="AC33" s="25"/>
    </row>
    <row r="34" s="6" customFormat="1" spans="1:29">
      <c r="A34" s="17" t="s">
        <v>120</v>
      </c>
      <c r="B34" s="18">
        <v>45809</v>
      </c>
      <c r="C34" s="27" t="s">
        <v>121</v>
      </c>
      <c r="D34" s="27">
        <v>13963918706</v>
      </c>
      <c r="E34" s="19"/>
      <c r="F34" s="28">
        <v>6029</v>
      </c>
      <c r="G34" s="28">
        <v>2622</v>
      </c>
      <c r="H34" s="21">
        <f t="shared" si="0"/>
        <v>1.28490000735368</v>
      </c>
      <c r="I34" s="19"/>
      <c r="J34" s="19"/>
      <c r="K34" s="22">
        <v>51629923.87</v>
      </c>
      <c r="L34" s="22">
        <v>40182055.86</v>
      </c>
      <c r="M34" s="23"/>
      <c r="N34" s="24">
        <f t="shared" si="1"/>
        <v>1.28967229456518</v>
      </c>
      <c r="O34" s="23"/>
      <c r="P34" s="23"/>
      <c r="Q34" s="22">
        <v>27068796.13</v>
      </c>
      <c r="R34" s="22">
        <v>20988894.81</v>
      </c>
      <c r="S34" s="19"/>
      <c r="T34" s="19"/>
      <c r="U34" s="19"/>
      <c r="V34" s="19"/>
      <c r="W34" s="19"/>
      <c r="X34" s="19"/>
      <c r="Y34" s="19"/>
      <c r="Z34" s="19"/>
      <c r="AA34" s="19"/>
      <c r="AC34" s="25"/>
    </row>
    <row r="35" s="6" customFormat="1" spans="1:29">
      <c r="A35" s="17" t="s">
        <v>122</v>
      </c>
      <c r="B35" s="18">
        <v>45809</v>
      </c>
      <c r="C35" s="27" t="s">
        <v>123</v>
      </c>
      <c r="D35" s="27">
        <v>19802424322</v>
      </c>
      <c r="E35" s="19"/>
      <c r="F35" s="28">
        <v>5917</v>
      </c>
      <c r="G35" s="28">
        <v>4253</v>
      </c>
      <c r="H35" s="21">
        <f t="shared" si="0"/>
        <v>1.23833860602582</v>
      </c>
      <c r="I35" s="19"/>
      <c r="J35" s="19"/>
      <c r="K35" s="22">
        <v>37948887.82</v>
      </c>
      <c r="L35" s="22">
        <v>30645001</v>
      </c>
      <c r="M35" s="23"/>
      <c r="N35" s="24">
        <f t="shared" si="1"/>
        <v>1.25898542924821</v>
      </c>
      <c r="O35" s="23"/>
      <c r="P35" s="23"/>
      <c r="Q35" s="22">
        <v>19671326.19</v>
      </c>
      <c r="R35" s="22">
        <v>15624744.92</v>
      </c>
      <c r="S35" s="19"/>
      <c r="T35" s="19"/>
      <c r="U35" s="19"/>
      <c r="V35" s="19"/>
      <c r="W35" s="19"/>
      <c r="X35" s="19"/>
      <c r="Y35" s="19"/>
      <c r="Z35" s="19"/>
      <c r="AA35" s="19"/>
      <c r="AC35" s="25"/>
    </row>
    <row r="36" s="6" customFormat="1" spans="1:29">
      <c r="A36" s="17" t="s">
        <v>124</v>
      </c>
      <c r="B36" s="18">
        <v>45809</v>
      </c>
      <c r="C36" s="27" t="s">
        <v>125</v>
      </c>
      <c r="D36" s="27">
        <v>18840980218</v>
      </c>
      <c r="E36" s="19"/>
      <c r="F36" s="28">
        <v>1555</v>
      </c>
      <c r="G36" s="28">
        <v>469</v>
      </c>
      <c r="H36" s="21">
        <f t="shared" ref="H36:H55" si="2">K36/L36</f>
        <v>1.21771690747048</v>
      </c>
      <c r="I36" s="19"/>
      <c r="J36" s="19"/>
      <c r="K36" s="22">
        <v>5357709.51</v>
      </c>
      <c r="L36" s="22">
        <v>4399798.9</v>
      </c>
      <c r="M36" s="23"/>
      <c r="N36" s="24">
        <f t="shared" ref="N36:N55" si="3">Q36/R36</f>
        <v>1.26953909966838</v>
      </c>
      <c r="O36" s="23"/>
      <c r="P36" s="23"/>
      <c r="Q36" s="22">
        <v>2892808.99</v>
      </c>
      <c r="R36" s="22">
        <v>2278629.3</v>
      </c>
      <c r="S36" s="19"/>
      <c r="T36" s="19"/>
      <c r="U36" s="19"/>
      <c r="V36" s="19"/>
      <c r="W36" s="19"/>
      <c r="X36" s="19"/>
      <c r="Y36" s="19"/>
      <c r="Z36" s="19"/>
      <c r="AA36" s="19"/>
      <c r="AC36" s="25"/>
    </row>
    <row r="37" s="6" customFormat="1" spans="1:29">
      <c r="A37" s="17" t="s">
        <v>126</v>
      </c>
      <c r="B37" s="18">
        <v>45809</v>
      </c>
      <c r="C37" s="27" t="s">
        <v>127</v>
      </c>
      <c r="D37" s="27">
        <v>13606069537</v>
      </c>
      <c r="E37" s="19"/>
      <c r="F37" s="28">
        <v>3835</v>
      </c>
      <c r="G37" s="28">
        <v>1967</v>
      </c>
      <c r="H37" s="21">
        <f t="shared" si="2"/>
        <v>1.32633438175926</v>
      </c>
      <c r="I37" s="19"/>
      <c r="J37" s="19"/>
      <c r="K37" s="22">
        <v>37636578</v>
      </c>
      <c r="L37" s="22">
        <v>28376387.22</v>
      </c>
      <c r="M37" s="23"/>
      <c r="N37" s="24">
        <f t="shared" si="3"/>
        <v>1.36427663689806</v>
      </c>
      <c r="O37" s="23"/>
      <c r="P37" s="23"/>
      <c r="Q37" s="22">
        <v>19121494</v>
      </c>
      <c r="R37" s="22">
        <v>14015848.02</v>
      </c>
      <c r="S37" s="19"/>
      <c r="T37" s="19"/>
      <c r="U37" s="19"/>
      <c r="V37" s="19"/>
      <c r="W37" s="19"/>
      <c r="X37" s="19"/>
      <c r="Y37" s="19"/>
      <c r="Z37" s="19"/>
      <c r="AA37" s="19"/>
      <c r="AC37" s="25"/>
    </row>
    <row r="38" s="6" customFormat="1" spans="1:29">
      <c r="A38" s="17" t="s">
        <v>128</v>
      </c>
      <c r="B38" s="18">
        <v>45809</v>
      </c>
      <c r="C38" s="27" t="s">
        <v>129</v>
      </c>
      <c r="D38" s="27">
        <v>13625080851</v>
      </c>
      <c r="E38" s="19"/>
      <c r="F38" s="28">
        <v>7040</v>
      </c>
      <c r="G38" s="28">
        <v>4675</v>
      </c>
      <c r="H38" s="21">
        <f t="shared" si="2"/>
        <v>1.28865153904693</v>
      </c>
      <c r="I38" s="19"/>
      <c r="J38" s="19"/>
      <c r="K38" s="22">
        <v>45341530.34</v>
      </c>
      <c r="L38" s="22">
        <v>35185252.93</v>
      </c>
      <c r="M38" s="23"/>
      <c r="N38" s="24">
        <f t="shared" si="3"/>
        <v>1.32471755120688</v>
      </c>
      <c r="O38" s="23"/>
      <c r="P38" s="23"/>
      <c r="Q38" s="22">
        <v>27494028.75</v>
      </c>
      <c r="R38" s="22">
        <v>20754634.62</v>
      </c>
      <c r="S38" s="19"/>
      <c r="T38" s="19"/>
      <c r="U38" s="19"/>
      <c r="V38" s="19"/>
      <c r="W38" s="19"/>
      <c r="X38" s="19"/>
      <c r="Y38" s="19"/>
      <c r="Z38" s="19"/>
      <c r="AA38" s="19"/>
      <c r="AC38" s="25"/>
    </row>
    <row r="39" s="6" customFormat="1" spans="1:29">
      <c r="A39" s="17" t="s">
        <v>130</v>
      </c>
      <c r="B39" s="18">
        <v>45809</v>
      </c>
      <c r="C39" s="27" t="s">
        <v>131</v>
      </c>
      <c r="D39" s="27">
        <v>13518801199</v>
      </c>
      <c r="E39" s="19"/>
      <c r="F39" s="28">
        <v>2912</v>
      </c>
      <c r="G39" s="28">
        <v>1326</v>
      </c>
      <c r="H39" s="21">
        <f t="shared" si="2"/>
        <v>1.31237077490545</v>
      </c>
      <c r="I39" s="19"/>
      <c r="J39" s="19"/>
      <c r="K39" s="22">
        <v>28268652.73</v>
      </c>
      <c r="L39" s="22">
        <v>21540141.91</v>
      </c>
      <c r="M39" s="23"/>
      <c r="N39" s="24">
        <f t="shared" si="3"/>
        <v>1.32617102605736</v>
      </c>
      <c r="O39" s="23"/>
      <c r="P39" s="23"/>
      <c r="Q39" s="22">
        <v>14630001.42</v>
      </c>
      <c r="R39" s="22">
        <v>11031760.71</v>
      </c>
      <c r="S39" s="19"/>
      <c r="T39" s="19"/>
      <c r="U39" s="19"/>
      <c r="V39" s="19"/>
      <c r="W39" s="19"/>
      <c r="X39" s="19"/>
      <c r="Y39" s="19"/>
      <c r="Z39" s="19"/>
      <c r="AA39" s="19"/>
      <c r="AC39" s="25"/>
    </row>
    <row r="40" s="6" customFormat="1" spans="1:29">
      <c r="A40" s="17" t="s">
        <v>132</v>
      </c>
      <c r="B40" s="18">
        <v>45809</v>
      </c>
      <c r="C40" s="27" t="s">
        <v>133</v>
      </c>
      <c r="D40" s="27">
        <v>18837109598</v>
      </c>
      <c r="E40" s="19"/>
      <c r="F40" s="28">
        <v>5251</v>
      </c>
      <c r="G40" s="28">
        <v>4149</v>
      </c>
      <c r="H40" s="21">
        <f t="shared" si="2"/>
        <v>1.35708834637057</v>
      </c>
      <c r="I40" s="19"/>
      <c r="J40" s="19"/>
      <c r="K40" s="22">
        <v>95232913.19</v>
      </c>
      <c r="L40" s="22">
        <v>70174438.86</v>
      </c>
      <c r="M40" s="23"/>
      <c r="N40" s="24">
        <f t="shared" si="3"/>
        <v>1.35909906222928</v>
      </c>
      <c r="O40" s="23"/>
      <c r="P40" s="23"/>
      <c r="Q40" s="22">
        <v>47560817.72</v>
      </c>
      <c r="R40" s="22">
        <v>34994371.67</v>
      </c>
      <c r="S40" s="19"/>
      <c r="T40" s="19"/>
      <c r="U40" s="19"/>
      <c r="V40" s="19"/>
      <c r="W40" s="19"/>
      <c r="X40" s="19"/>
      <c r="Y40" s="19"/>
      <c r="Z40" s="19"/>
      <c r="AA40" s="19"/>
      <c r="AC40" s="25"/>
    </row>
    <row r="41" s="6" customFormat="1" spans="1:29">
      <c r="A41" s="17" t="s">
        <v>134</v>
      </c>
      <c r="B41" s="18">
        <v>45809</v>
      </c>
      <c r="C41" s="27" t="s">
        <v>135</v>
      </c>
      <c r="D41" s="27">
        <v>15937100039</v>
      </c>
      <c r="E41" s="19"/>
      <c r="F41" s="28">
        <v>7461</v>
      </c>
      <c r="G41" s="28">
        <v>2306</v>
      </c>
      <c r="H41" s="21">
        <f t="shared" si="2"/>
        <v>1.35586645671039</v>
      </c>
      <c r="I41" s="19"/>
      <c r="J41" s="19"/>
      <c r="K41" s="22">
        <v>121908633.02</v>
      </c>
      <c r="L41" s="22">
        <v>89911976.52</v>
      </c>
      <c r="M41" s="23"/>
      <c r="N41" s="24">
        <f t="shared" si="3"/>
        <v>1.36492410958006</v>
      </c>
      <c r="O41" s="23"/>
      <c r="P41" s="23"/>
      <c r="Q41" s="22">
        <v>62360089.66</v>
      </c>
      <c r="R41" s="22">
        <v>45687587.48</v>
      </c>
      <c r="S41" s="19"/>
      <c r="T41" s="19"/>
      <c r="U41" s="19"/>
      <c r="V41" s="19"/>
      <c r="W41" s="19"/>
      <c r="X41" s="19"/>
      <c r="Y41" s="19"/>
      <c r="Z41" s="19"/>
      <c r="AA41" s="19"/>
      <c r="AC41" s="25"/>
    </row>
    <row r="42" s="6" customFormat="1" spans="1:29">
      <c r="A42" s="17" t="s">
        <v>136</v>
      </c>
      <c r="B42" s="18">
        <v>45809</v>
      </c>
      <c r="C42" s="27" t="s">
        <v>137</v>
      </c>
      <c r="D42" s="27">
        <v>15111063311</v>
      </c>
      <c r="E42" s="19"/>
      <c r="F42" s="28">
        <v>6732</v>
      </c>
      <c r="G42" s="28">
        <v>5516</v>
      </c>
      <c r="H42" s="21">
        <f t="shared" si="2"/>
        <v>1.27741421035616</v>
      </c>
      <c r="I42" s="19"/>
      <c r="J42" s="19"/>
      <c r="K42" s="22">
        <v>94726184.5</v>
      </c>
      <c r="L42" s="22">
        <v>74154634.99</v>
      </c>
      <c r="M42" s="23"/>
      <c r="N42" s="24">
        <f t="shared" si="3"/>
        <v>1.35443587318419</v>
      </c>
      <c r="O42" s="23"/>
      <c r="P42" s="23"/>
      <c r="Q42" s="22">
        <v>50233605.55</v>
      </c>
      <c r="R42" s="22">
        <v>37088212.55</v>
      </c>
      <c r="S42" s="19"/>
      <c r="T42" s="19"/>
      <c r="U42" s="19"/>
      <c r="V42" s="19"/>
      <c r="W42" s="19"/>
      <c r="X42" s="19"/>
      <c r="Y42" s="19"/>
      <c r="Z42" s="19"/>
      <c r="AA42" s="19"/>
      <c r="AC42" s="25"/>
    </row>
    <row r="43" s="6" customFormat="1" spans="1:29">
      <c r="A43" s="17" t="s">
        <v>138</v>
      </c>
      <c r="B43" s="18">
        <v>45809</v>
      </c>
      <c r="C43" s="27" t="s">
        <v>139</v>
      </c>
      <c r="D43" s="27">
        <v>15084894373</v>
      </c>
      <c r="E43" s="19"/>
      <c r="F43" s="28">
        <v>3941</v>
      </c>
      <c r="G43" s="28">
        <v>1526</v>
      </c>
      <c r="H43" s="21">
        <f t="shared" si="2"/>
        <v>1.39489316666243</v>
      </c>
      <c r="I43" s="19"/>
      <c r="J43" s="19"/>
      <c r="K43" s="22">
        <v>26451617.9</v>
      </c>
      <c r="L43" s="22">
        <v>18963185.52</v>
      </c>
      <c r="M43" s="23"/>
      <c r="N43" s="24">
        <f t="shared" si="3"/>
        <v>1.41924545534809</v>
      </c>
      <c r="O43" s="23"/>
      <c r="P43" s="23"/>
      <c r="Q43" s="22">
        <v>14395783.96</v>
      </c>
      <c r="R43" s="22">
        <v>10143265.85</v>
      </c>
      <c r="S43" s="19"/>
      <c r="T43" s="19"/>
      <c r="U43" s="19"/>
      <c r="V43" s="19"/>
      <c r="W43" s="19"/>
      <c r="X43" s="19"/>
      <c r="Y43" s="19"/>
      <c r="Z43" s="19"/>
      <c r="AA43" s="19"/>
      <c r="AC43" s="25"/>
    </row>
    <row r="44" s="6" customFormat="1" spans="1:29">
      <c r="A44" s="17" t="s">
        <v>140</v>
      </c>
      <c r="B44" s="18">
        <v>45809</v>
      </c>
      <c r="C44" s="27" t="s">
        <v>141</v>
      </c>
      <c r="D44" s="27">
        <v>13872570350</v>
      </c>
      <c r="E44" s="19"/>
      <c r="F44" s="28">
        <v>2198</v>
      </c>
      <c r="G44" s="28">
        <v>1594</v>
      </c>
      <c r="H44" s="21">
        <f t="shared" si="2"/>
        <v>1.36740676951606</v>
      </c>
      <c r="I44" s="19"/>
      <c r="J44" s="19"/>
      <c r="K44" s="22">
        <v>27589514.45</v>
      </c>
      <c r="L44" s="22">
        <v>20176523.23</v>
      </c>
      <c r="M44" s="23"/>
      <c r="N44" s="24">
        <f t="shared" si="3"/>
        <v>1.47647625437059</v>
      </c>
      <c r="O44" s="23"/>
      <c r="P44" s="23"/>
      <c r="Q44" s="22">
        <v>15187789.66</v>
      </c>
      <c r="R44" s="22">
        <v>10286511.29</v>
      </c>
      <c r="S44" s="19"/>
      <c r="T44" s="19"/>
      <c r="U44" s="19"/>
      <c r="V44" s="19"/>
      <c r="W44" s="19"/>
      <c r="X44" s="19"/>
      <c r="Y44" s="19"/>
      <c r="Z44" s="19"/>
      <c r="AA44" s="19"/>
      <c r="AC44" s="25"/>
    </row>
    <row r="45" s="6" customFormat="1" spans="1:29">
      <c r="A45" s="17" t="s">
        <v>142</v>
      </c>
      <c r="B45" s="18">
        <v>45809</v>
      </c>
      <c r="C45" s="27" t="s">
        <v>143</v>
      </c>
      <c r="D45" s="27">
        <v>15972226117</v>
      </c>
      <c r="E45" s="19"/>
      <c r="F45" s="28">
        <v>5094</v>
      </c>
      <c r="G45" s="28">
        <v>1790</v>
      </c>
      <c r="H45" s="21">
        <f t="shared" si="2"/>
        <v>1.39377202994629</v>
      </c>
      <c r="I45" s="19"/>
      <c r="J45" s="19"/>
      <c r="K45" s="22">
        <v>32299239</v>
      </c>
      <c r="L45" s="22">
        <v>23173975.59</v>
      </c>
      <c r="M45" s="23"/>
      <c r="N45" s="24">
        <f t="shared" si="3"/>
        <v>1.42406081383885</v>
      </c>
      <c r="O45" s="23"/>
      <c r="P45" s="23"/>
      <c r="Q45" s="22">
        <v>16751844</v>
      </c>
      <c r="R45" s="22">
        <v>11763433.02</v>
      </c>
      <c r="S45" s="19"/>
      <c r="T45" s="19"/>
      <c r="U45" s="19"/>
      <c r="V45" s="19"/>
      <c r="W45" s="19"/>
      <c r="X45" s="19"/>
      <c r="Y45" s="19"/>
      <c r="Z45" s="19"/>
      <c r="AA45" s="19"/>
      <c r="AC45" s="25"/>
    </row>
    <row r="46" s="6" customFormat="1" spans="1:29">
      <c r="A46" s="17" t="s">
        <v>144</v>
      </c>
      <c r="B46" s="18">
        <v>45809</v>
      </c>
      <c r="C46" s="27" t="s">
        <v>145</v>
      </c>
      <c r="D46" s="27">
        <v>15103512372</v>
      </c>
      <c r="E46" s="19"/>
      <c r="F46" s="28">
        <v>7333</v>
      </c>
      <c r="G46" s="28">
        <v>1064</v>
      </c>
      <c r="H46" s="21">
        <f t="shared" si="2"/>
        <v>1.2368072294106</v>
      </c>
      <c r="I46" s="19"/>
      <c r="J46" s="19"/>
      <c r="K46" s="22">
        <v>49755979.46</v>
      </c>
      <c r="L46" s="22">
        <v>40229373.08</v>
      </c>
      <c r="M46" s="23"/>
      <c r="N46" s="24">
        <f t="shared" si="3"/>
        <v>1.27855708341269</v>
      </c>
      <c r="O46" s="23"/>
      <c r="P46" s="23"/>
      <c r="Q46" s="22">
        <v>26013367.1</v>
      </c>
      <c r="R46" s="22">
        <v>20345878.52</v>
      </c>
      <c r="S46" s="19"/>
      <c r="T46" s="19"/>
      <c r="U46" s="19"/>
      <c r="V46" s="19"/>
      <c r="W46" s="19"/>
      <c r="X46" s="19"/>
      <c r="Y46" s="19"/>
      <c r="Z46" s="19"/>
      <c r="AA46" s="19"/>
      <c r="AC46" s="25"/>
    </row>
    <row r="47" s="6" customFormat="1" spans="1:29">
      <c r="A47" s="17" t="s">
        <v>146</v>
      </c>
      <c r="B47" s="18">
        <v>45809</v>
      </c>
      <c r="C47" s="27" t="s">
        <v>147</v>
      </c>
      <c r="D47" s="27">
        <v>15143073655</v>
      </c>
      <c r="E47" s="19"/>
      <c r="F47" s="28">
        <v>2866</v>
      </c>
      <c r="G47" s="28">
        <v>1525</v>
      </c>
      <c r="H47" s="21">
        <f t="shared" si="2"/>
        <v>1.40776236403722</v>
      </c>
      <c r="I47" s="19"/>
      <c r="J47" s="19"/>
      <c r="K47" s="22">
        <v>24291679.99</v>
      </c>
      <c r="L47" s="22">
        <v>17255525.94</v>
      </c>
      <c r="M47" s="23"/>
      <c r="N47" s="24">
        <f t="shared" si="3"/>
        <v>1.40967484309032</v>
      </c>
      <c r="O47" s="23"/>
      <c r="P47" s="23"/>
      <c r="Q47" s="22">
        <v>11967661.82</v>
      </c>
      <c r="R47" s="22">
        <v>8489661.2</v>
      </c>
      <c r="S47" s="19"/>
      <c r="T47" s="19"/>
      <c r="U47" s="19"/>
      <c r="V47" s="19"/>
      <c r="W47" s="19"/>
      <c r="X47" s="19"/>
      <c r="Y47" s="19"/>
      <c r="Z47" s="19"/>
      <c r="AA47" s="19"/>
      <c r="AC47" s="25"/>
    </row>
    <row r="48" s="6" customFormat="1" spans="1:29">
      <c r="A48" s="17" t="s">
        <v>148</v>
      </c>
      <c r="B48" s="18">
        <v>45809</v>
      </c>
      <c r="C48" s="27" t="s">
        <v>149</v>
      </c>
      <c r="D48" s="27">
        <v>15070808542</v>
      </c>
      <c r="E48" s="19"/>
      <c r="F48" s="28">
        <v>2926</v>
      </c>
      <c r="G48" s="28">
        <v>1418</v>
      </c>
      <c r="H48" s="21">
        <f t="shared" si="2"/>
        <v>1.3063952278736</v>
      </c>
      <c r="I48" s="19"/>
      <c r="J48" s="19"/>
      <c r="K48" s="22">
        <v>29031583.99</v>
      </c>
      <c r="L48" s="22">
        <v>22222665.37</v>
      </c>
      <c r="M48" s="23"/>
      <c r="N48" s="24">
        <f t="shared" si="3"/>
        <v>1.31072262678476</v>
      </c>
      <c r="O48" s="23"/>
      <c r="P48" s="23"/>
      <c r="Q48" s="22">
        <v>15049230.11</v>
      </c>
      <c r="R48" s="22">
        <v>11481628.38</v>
      </c>
      <c r="S48" s="19"/>
      <c r="T48" s="19"/>
      <c r="U48" s="19"/>
      <c r="V48" s="19"/>
      <c r="W48" s="19"/>
      <c r="X48" s="19"/>
      <c r="Y48" s="19"/>
      <c r="Z48" s="19"/>
      <c r="AA48" s="19"/>
      <c r="AC48" s="25"/>
    </row>
    <row r="49" s="6" customFormat="1" spans="1:29">
      <c r="A49" s="17" t="s">
        <v>150</v>
      </c>
      <c r="B49" s="18">
        <v>45809</v>
      </c>
      <c r="C49" s="27" t="s">
        <v>151</v>
      </c>
      <c r="D49" s="27">
        <v>13909203039</v>
      </c>
      <c r="E49" s="19"/>
      <c r="F49" s="28">
        <v>11623</v>
      </c>
      <c r="G49" s="28">
        <v>7716</v>
      </c>
      <c r="H49" s="21">
        <f t="shared" si="2"/>
        <v>1.27720193153303</v>
      </c>
      <c r="I49" s="19"/>
      <c r="J49" s="19"/>
      <c r="K49" s="22">
        <v>81768424.56</v>
      </c>
      <c r="L49" s="22">
        <v>64021532.18</v>
      </c>
      <c r="M49" s="23"/>
      <c r="N49" s="24">
        <f t="shared" si="3"/>
        <v>1.31055174861935</v>
      </c>
      <c r="O49" s="23"/>
      <c r="P49" s="23"/>
      <c r="Q49" s="22">
        <v>42307251.43</v>
      </c>
      <c r="R49" s="22">
        <v>32282015.17</v>
      </c>
      <c r="S49" s="19"/>
      <c r="T49" s="19"/>
      <c r="U49" s="19"/>
      <c r="V49" s="19"/>
      <c r="W49" s="19"/>
      <c r="X49" s="19"/>
      <c r="Y49" s="19"/>
      <c r="Z49" s="19"/>
      <c r="AA49" s="19"/>
      <c r="AC49" s="25"/>
    </row>
    <row r="50" s="6" customFormat="1" spans="1:29">
      <c r="A50" s="17" t="s">
        <v>152</v>
      </c>
      <c r="B50" s="18">
        <v>45809</v>
      </c>
      <c r="C50" s="27" t="s">
        <v>153</v>
      </c>
      <c r="D50" s="27">
        <v>13688705002</v>
      </c>
      <c r="E50" s="19"/>
      <c r="F50" s="28">
        <v>8693</v>
      </c>
      <c r="G50" s="28">
        <v>8693</v>
      </c>
      <c r="H50" s="21">
        <f t="shared" si="2"/>
        <v>1.26977761710987</v>
      </c>
      <c r="I50" s="19"/>
      <c r="J50" s="19"/>
      <c r="K50" s="22">
        <v>50309815.63</v>
      </c>
      <c r="L50" s="22">
        <v>39620965.87</v>
      </c>
      <c r="M50" s="23"/>
      <c r="N50" s="24">
        <f t="shared" si="3"/>
        <v>1.31567074931534</v>
      </c>
      <c r="O50" s="23"/>
      <c r="P50" s="23"/>
      <c r="Q50" s="22">
        <v>26612014.87</v>
      </c>
      <c r="R50" s="22">
        <v>20226956.39</v>
      </c>
      <c r="S50" s="19"/>
      <c r="T50" s="19"/>
      <c r="U50" s="19"/>
      <c r="V50" s="19"/>
      <c r="W50" s="19"/>
      <c r="X50" s="19"/>
      <c r="Y50" s="19"/>
      <c r="Z50" s="19"/>
      <c r="AA50" s="19"/>
      <c r="AC50" s="25"/>
    </row>
    <row r="51" s="6" customFormat="1" spans="1:29">
      <c r="A51" s="17" t="s">
        <v>154</v>
      </c>
      <c r="B51" s="18">
        <v>45809</v>
      </c>
      <c r="C51" s="27" t="s">
        <v>155</v>
      </c>
      <c r="D51" s="27">
        <v>18709900083</v>
      </c>
      <c r="E51" s="19"/>
      <c r="F51" s="28">
        <v>3590</v>
      </c>
      <c r="G51" s="28">
        <v>790</v>
      </c>
      <c r="H51" s="21">
        <f t="shared" si="2"/>
        <v>1.23210330759224</v>
      </c>
      <c r="I51" s="19"/>
      <c r="J51" s="19"/>
      <c r="K51" s="22">
        <v>34829677.63</v>
      </c>
      <c r="L51" s="22">
        <v>28268471.82</v>
      </c>
      <c r="M51" s="23"/>
      <c r="N51" s="24">
        <f t="shared" si="3"/>
        <v>1.26550645301391</v>
      </c>
      <c r="O51" s="23"/>
      <c r="P51" s="23"/>
      <c r="Q51" s="22">
        <v>19413588.05</v>
      </c>
      <c r="R51" s="22">
        <v>15340568.2</v>
      </c>
      <c r="S51" s="19"/>
      <c r="T51" s="19"/>
      <c r="U51" s="19"/>
      <c r="V51" s="19"/>
      <c r="W51" s="19"/>
      <c r="X51" s="19"/>
      <c r="Y51" s="19"/>
      <c r="Z51" s="19"/>
      <c r="AA51" s="19"/>
      <c r="AC51" s="25"/>
    </row>
    <row r="52" s="6" customFormat="1" spans="1:29">
      <c r="A52" s="17" t="s">
        <v>156</v>
      </c>
      <c r="B52" s="18">
        <v>45809</v>
      </c>
      <c r="C52" s="29" t="s">
        <v>157</v>
      </c>
      <c r="D52" s="27">
        <v>13699999576</v>
      </c>
      <c r="E52" s="19"/>
      <c r="F52" s="28">
        <v>3026</v>
      </c>
      <c r="G52" s="28">
        <v>1895</v>
      </c>
      <c r="H52" s="21">
        <f t="shared" si="2"/>
        <v>1.22216511390523</v>
      </c>
      <c r="I52" s="19"/>
      <c r="J52" s="19"/>
      <c r="K52" s="22">
        <v>30194519.5</v>
      </c>
      <c r="L52" s="22">
        <v>24705761.24</v>
      </c>
      <c r="M52" s="23"/>
      <c r="N52" s="24">
        <f t="shared" si="3"/>
        <v>1.25255288051581</v>
      </c>
      <c r="O52" s="23"/>
      <c r="P52" s="23"/>
      <c r="Q52" s="22">
        <v>17259053.4</v>
      </c>
      <c r="R52" s="22">
        <v>13779101.6</v>
      </c>
      <c r="S52" s="19"/>
      <c r="T52" s="19"/>
      <c r="U52" s="19"/>
      <c r="V52" s="19"/>
      <c r="W52" s="19"/>
      <c r="X52" s="19"/>
      <c r="Y52" s="19"/>
      <c r="Z52" s="19"/>
      <c r="AA52" s="19"/>
      <c r="AC52" s="25"/>
    </row>
    <row r="53" s="6" customFormat="1" spans="1:29">
      <c r="A53" s="17" t="s">
        <v>158</v>
      </c>
      <c r="B53" s="18">
        <v>45809</v>
      </c>
      <c r="C53" s="27" t="s">
        <v>159</v>
      </c>
      <c r="D53" s="27">
        <v>13519620627</v>
      </c>
      <c r="E53" s="19"/>
      <c r="F53" s="28">
        <v>3027</v>
      </c>
      <c r="G53" s="28">
        <v>1679</v>
      </c>
      <c r="H53" s="21">
        <f t="shared" si="2"/>
        <v>1.22300113763127</v>
      </c>
      <c r="I53" s="19"/>
      <c r="J53" s="19"/>
      <c r="K53" s="22">
        <v>36990445.94</v>
      </c>
      <c r="L53" s="22">
        <v>30245634.94</v>
      </c>
      <c r="M53" s="23"/>
      <c r="N53" s="24">
        <f t="shared" si="3"/>
        <v>1.26966994415121</v>
      </c>
      <c r="O53" s="23"/>
      <c r="P53" s="23"/>
      <c r="Q53" s="22">
        <v>19368135.75</v>
      </c>
      <c r="R53" s="22">
        <v>15254465.02</v>
      </c>
      <c r="S53" s="19"/>
      <c r="T53" s="19"/>
      <c r="U53" s="19"/>
      <c r="V53" s="19"/>
      <c r="W53" s="19"/>
      <c r="X53" s="19"/>
      <c r="Y53" s="19"/>
      <c r="Z53" s="19"/>
      <c r="AA53" s="19"/>
      <c r="AC53" s="25"/>
    </row>
    <row r="54" s="6" customFormat="1" spans="1:29">
      <c r="A54" s="17" t="s">
        <v>160</v>
      </c>
      <c r="B54" s="18">
        <v>45809</v>
      </c>
      <c r="C54" s="27" t="s">
        <v>161</v>
      </c>
      <c r="D54" s="27">
        <v>18897159556</v>
      </c>
      <c r="E54" s="19"/>
      <c r="F54" s="28">
        <v>3451</v>
      </c>
      <c r="G54" s="28">
        <v>1851</v>
      </c>
      <c r="H54" s="21">
        <f t="shared" si="2"/>
        <v>1.27012010972088</v>
      </c>
      <c r="I54" s="19"/>
      <c r="J54" s="19"/>
      <c r="K54" s="22">
        <v>22721677.8</v>
      </c>
      <c r="L54" s="22">
        <v>17889393</v>
      </c>
      <c r="M54" s="23"/>
      <c r="N54" s="24">
        <f t="shared" si="3"/>
        <v>1.28124932722504</v>
      </c>
      <c r="O54" s="23"/>
      <c r="P54" s="23"/>
      <c r="Q54" s="22">
        <v>11449163.91</v>
      </c>
      <c r="R54" s="22">
        <v>8935937.5</v>
      </c>
      <c r="S54" s="19"/>
      <c r="T54" s="19"/>
      <c r="U54" s="19"/>
      <c r="V54" s="19"/>
      <c r="W54" s="19"/>
      <c r="X54" s="19"/>
      <c r="Y54" s="19"/>
      <c r="Z54" s="19"/>
      <c r="AA54" s="19"/>
      <c r="AC54" s="25"/>
    </row>
    <row r="55" s="6" customFormat="1" spans="1:29">
      <c r="A55" s="17" t="s">
        <v>162</v>
      </c>
      <c r="B55" s="18">
        <v>45809</v>
      </c>
      <c r="C55" s="27" t="s">
        <v>163</v>
      </c>
      <c r="D55" s="27">
        <v>15277711110</v>
      </c>
      <c r="E55" s="19"/>
      <c r="F55" s="28">
        <v>3652</v>
      </c>
      <c r="G55" s="28">
        <v>1727</v>
      </c>
      <c r="H55" s="21">
        <f t="shared" si="2"/>
        <v>1.2415381290161</v>
      </c>
      <c r="I55" s="19"/>
      <c r="J55" s="19"/>
      <c r="K55" s="22">
        <v>22897334.62</v>
      </c>
      <c r="L55" s="22">
        <v>18442715.6</v>
      </c>
      <c r="M55" s="23"/>
      <c r="N55" s="24">
        <f t="shared" si="3"/>
        <v>1.28552454472372</v>
      </c>
      <c r="O55" s="23"/>
      <c r="P55" s="23"/>
      <c r="Q55" s="22">
        <v>12274595.98</v>
      </c>
      <c r="R55" s="22">
        <v>9548317.09</v>
      </c>
      <c r="S55" s="19"/>
      <c r="T55" s="19"/>
      <c r="U55" s="19"/>
      <c r="V55" s="19"/>
      <c r="W55" s="19"/>
      <c r="X55" s="19"/>
      <c r="Y55" s="19"/>
      <c r="Z55" s="19"/>
      <c r="AA55" s="19"/>
      <c r="AC55" s="25"/>
    </row>
    <row r="56" s="6" customFormat="1" spans="1:29">
      <c r="A56" s="30"/>
      <c r="B56" s="31"/>
      <c r="AC56" s="25"/>
    </row>
    <row r="57" s="6" customFormat="1" spans="1:29">
      <c r="A57" s="30"/>
      <c r="B57" s="31"/>
      <c r="AC57" s="25"/>
    </row>
    <row r="58" s="6" customFormat="1" spans="1:29">
      <c r="A58" s="30"/>
      <c r="B58" s="31"/>
      <c r="AC58" s="25"/>
    </row>
    <row r="59" s="6" customFormat="1" spans="1:29">
      <c r="B59" s="31"/>
    </row>
    <row r="60" s="6" customFormat="1" ht="112" spans="1:29">
      <c r="A60" s="32" t="s">
        <v>164</v>
      </c>
      <c r="B60" s="31"/>
    </row>
    <row r="61" s="6" customFormat="1" spans="1:29">
      <c r="B61" s="31"/>
    </row>
    <row r="62" s="6" customFormat="1" spans="1:29">
      <c r="B62" s="31"/>
    </row>
    <row r="63" s="6" customFormat="1" spans="1:29">
      <c r="B63" s="31"/>
    </row>
    <row r="64" s="6" customFormat="1" spans="1:29">
      <c r="B64" s="31"/>
    </row>
    <row r="65" s="6" customFormat="1" spans="2:2">
      <c r="B65" s="31"/>
    </row>
    <row r="66" s="6" customFormat="1" spans="2:2">
      <c r="B66" s="31"/>
    </row>
    <row r="67" s="6" customFormat="1" spans="2:2">
      <c r="B67" s="31"/>
    </row>
  </sheetData>
  <sheetProtection formatColumns="0" formatRows="0"/>
  <autoFilter xmlns:etc="http://www.wps.cn/officeDocument/2017/etCustomData" ref="A2:AD60" etc:filterBottomFollowUsedRange="0">
    <extLst/>
  </autoFilter>
  <dataValidations count="10">
    <dataValidation allowBlank="1" showErrorMessage="1" promptTitle="格式提醒:" prompt="采集周期按YYYY-MM的格式输入" sqref="B1"/>
    <dataValidation allowBlank="1" showErrorMessage="1" promptTitle="单位:" prompt="吨" sqref="J1 P1 V1"/>
    <dataValidation allowBlank="1" showErrorMessage="1" promptTitle="单位:" prompt="万千瓦时" sqref="K1:M1 Q1:S1 W1:Y1"/>
    <dataValidation allowBlank="1" showErrorMessage="1" promptTitle="清洁能源类型:" prompt="太阳能,水能,风能,生物质能,氢能,地热能,核能,未使用" sqref="Z1"/>
    <dataValidation allowBlank="1" showErrorMessage="1" promptTitle="请用半角英文逗号分隔:" prompt="绿电市场化交易,自建清洁能源设施,购买绿证,源网荷储一体化项目,其他来源,未使用" sqref="AA1"/>
    <dataValidation allowBlank="1" showInputMessage="1" showErrorMessage="1" promptTitle="格式提醒:" prompt="采集周期按YYYY-MM的格式输入" sqref="B2:B1048576"/>
    <dataValidation allowBlank="1" showInputMessage="1" showErrorMessage="1" promptTitle="单位:" prompt="吨" sqref="J2:J1048576 P2:P1048576 V2:V1048576"/>
    <dataValidation allowBlank="1" showInputMessage="1" showErrorMessage="1" promptTitle="清洁能源类型:" prompt="太阳能,水能,风能,生物质能,氢能,地热能,核能,未使用" sqref="Z2:Z1048576"/>
    <dataValidation allowBlank="1" showInputMessage="1" showErrorMessage="1" promptTitle="请用半角英文逗号分隔:" prompt="绿电市场化交易,自建清洁能源设施,购买绿证,源网荷储一体化项目,其他来源,未使用" sqref="AA2:AA1048576"/>
    <dataValidation allowBlank="1" showInputMessage="1" showErrorMessage="1" promptTitle="单位:" prompt="万千瓦时" sqref="K2:M1048576 Q2:S1048576 W2:Y1048576"/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B2" sqref="B2"/>
    </sheetView>
  </sheetViews>
  <sheetFormatPr defaultColWidth="9" defaultRowHeight="14" outlineLevelCol="3"/>
  <cols>
    <col min="1" max="16378" width="20.7083333333333" customWidth="1"/>
  </cols>
  <sheetData>
    <row r="1" spans="1:4">
      <c r="A1" t="s">
        <v>165</v>
      </c>
      <c r="B1" t="s">
        <v>166</v>
      </c>
      <c r="C1" t="s">
        <v>167</v>
      </c>
      <c r="D1" t="s">
        <v>168</v>
      </c>
    </row>
    <row r="2" spans="1:4">
      <c r="A2" t="s">
        <v>169</v>
      </c>
      <c r="B2" t="s">
        <v>170</v>
      </c>
      <c r="C2" t="s">
        <v>171</v>
      </c>
      <c r="D2" t="s">
        <v>172</v>
      </c>
    </row>
    <row r="3" spans="1:4">
      <c r="A3" t="s">
        <v>173</v>
      </c>
      <c r="B3" t="s">
        <v>174</v>
      </c>
      <c r="C3" t="s">
        <v>175</v>
      </c>
      <c r="D3" t="s">
        <v>176</v>
      </c>
    </row>
    <row r="4" spans="1:4">
      <c r="A4" t="s">
        <v>177</v>
      </c>
      <c r="B4" s="1" t="s">
        <v>178</v>
      </c>
      <c r="C4" t="s">
        <v>179</v>
      </c>
      <c r="D4" t="s">
        <v>180</v>
      </c>
    </row>
    <row r="5" spans="1:4">
      <c r="A5" t="s">
        <v>181</v>
      </c>
      <c r="B5" t="s">
        <v>182</v>
      </c>
      <c r="C5" t="s">
        <v>183</v>
      </c>
      <c r="D5" t="s">
        <v>184</v>
      </c>
    </row>
    <row r="6" spans="1:4">
      <c r="A6" t="s">
        <v>185</v>
      </c>
      <c r="C6" t="s">
        <v>186</v>
      </c>
      <c r="D6" t="s">
        <v>187</v>
      </c>
    </row>
    <row r="7" spans="1:4">
      <c r="C7" t="s">
        <v>188</v>
      </c>
      <c r="D7" t="s">
        <v>189</v>
      </c>
    </row>
    <row r="8" spans="1:4">
      <c r="C8" t="s">
        <v>190</v>
      </c>
    </row>
    <row r="9" spans="1:4">
      <c r="C9" t="s">
        <v>189</v>
      </c>
    </row>
    <row r="12" spans="1:4">
      <c r="C12" s="2"/>
    </row>
    <row r="13" spans="1:4">
      <c r="C13" s="2"/>
      <c r="D13" s="3"/>
    </row>
    <row r="14" spans="1:4">
      <c r="C14" s="2"/>
      <c r="D14" s="2"/>
    </row>
    <row r="15" spans="1:4">
      <c r="C15" s="2"/>
      <c r="D15" s="2"/>
    </row>
    <row r="16" spans="1:4">
      <c r="C16" s="2"/>
      <c r="D16" s="2"/>
    </row>
    <row r="17" spans="3:4">
      <c r="C17" s="2"/>
      <c r="D17" s="2"/>
    </row>
    <row r="18" spans="3:4">
      <c r="C18" s="2"/>
      <c r="D18" s="2"/>
    </row>
    <row r="19" spans="3:4">
      <c r="C19" s="2"/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需求说明</vt:lpstr>
      <vt:lpstr>人工处理模板</vt:lpstr>
      <vt:lpstr>Dict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Sun</cp:lastModifiedBy>
  <cp:revision>1</cp:revision>
  <dcterms:created xsi:type="dcterms:W3CDTF">2025-02-26T02:09:00Z</dcterms:created>
  <dcterms:modified xsi:type="dcterms:W3CDTF">2025-08-22T03:26:34Z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CE6AE1A76C0042CEAEA0BF2DD14F270A_13</vt:lpwstr>
  </property>
  <property fmtid="{D5CDD505-2E9C-101B-9397-08002B2CF9AE}" pid="3" name="KSOProductBuildVer">
    <vt:lpwstr>2052-12.1.0.22089</vt:lpwstr>
  </property>
</Properties>
</file>