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匹配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<sst xmlns="http://schemas.openxmlformats.org/spreadsheetml/2006/main" count="65" uniqueCount="48">
  <si>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区域</t>
  </si>
  <si>
    <t>机楼匹配情况</t>
  </si>
  <si>
    <t>机房匹配情况</t>
  </si>
  <si>
    <t>设备匹配情况</t>
  </si>
  <si>
    <t>变压器匹配情况</t>
  </si>
  <si>
    <t>发电机匹配情况</t>
  </si>
  <si>
    <t>UPS匹配情况</t>
  </si>
  <si>
    <t>开关电源匹配情况</t>
  </si>
  <si>
    <t>其他设备匹配情况</t>
  </si>
  <si>
    <t>动环机楼数</t>
  </si>
  <si>
    <t>待综资匹配数</t>
  </si>
  <si>
    <t>匹配率</t>
  </si>
  <si>
    <t>动环机房数</t>
  </si>
  <si>
    <t>动环设备数</t>
  </si>
  <si>
    <t>动环主机数</t>
  </si>
  <si>
    <t>电源系统数</t>
  </si>
  <si>
    <t>广东</t>
  </si>
  <si>
    <t>安徽</t>
  </si>
  <si>
    <t>北京</t>
  </si>
  <si>
    <t>福建</t>
  </si>
  <si>
    <t>甘肃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</si>
  <si>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</si>
  <si>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</si>
  <si>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</si>
  <si>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</si>
  <si>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</si>
  <si>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</si>
  <si>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</si>
  <si>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</si>
  <si>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</si>
  <si>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</si>
  <si>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</si>
  <si>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</si>
  <si>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</si>
  <si>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</si>
  <si>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</si>
  <si>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</si>
  <si>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</si>
  <si>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</si>
  <si>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</si>
  <si>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</si>
  <si>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</si>
  <si>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</si>
  <si>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</si>
  <si>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</si>
  <si>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</si>
  <si>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辽宁</t>
  </si>
  <si>
    <t>专业公司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</si>
</sst>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2" borderId="1" xfId="0" applyNumberFormat="1" applyFont="1" applyFill="1" applyBorder="1">
      <alignment vertical="center"/>
    </xf>
    <xf numFmtId="0" fontId="0" fillId="3" borderId="1" xfId="0" applyNumberFormat="1" applyFont="1" applyFill="1" applyBorder="1">
      <alignment vertical="center"/>
    </xf>
    <xf numFmtId="10" fontId="0" fillId="0" borderId="1" xfId="0" applyNumberFormat="1" applyFont="1" applyBorder="1">
      <alignment vertical="center"/>
    </xf>
    <xf numFmtId="0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8"/>
  <sheetViews>
    <sheetView tabSelected="1" workbookViewId="0">
      <selection activeCell="F38" sqref="F38"/>
    </sheetView>
  </sheetViews>
  <sheetFormatPr defaultColWidth="9" defaultRowHeight="13.5"/>
  <cols>
    <col min="1" max="1" width="20" customWidth="1"/>
    <col min="2" max="25" width="15" customWidth="1"/>
  </cols>
  <sheetData>
    <row r="1" ht="15" spans="1:25">
      <c r="A1" s="1" t="s">
        <v>0</v>
      </c>
      <c r="B1" s="1" t="s">
        <v>1</v>
      </c>
      <c r="C1" s="2"/>
      <c r="D1" s="2"/>
      <c r="E1" s="1" t="s">
        <v>2</v>
      </c>
      <c r="F1" s="2"/>
      <c r="G1" s="2"/>
      <c r="H1" s="1" t="s">
        <v>3</v>
      </c>
      <c r="I1" s="2"/>
      <c r="J1" s="2"/>
      <c r="K1" s="1" t="s">
        <v>4</v>
      </c>
      <c r="L1" s="2"/>
      <c r="M1" s="2"/>
      <c r="N1" s="1" t="s">
        <v>5</v>
      </c>
      <c r="O1" s="2"/>
      <c r="P1" s="2"/>
      <c r="Q1" s="1" t="s">
        <v>6</v>
      </c>
      <c r="R1" s="2"/>
      <c r="S1" s="2"/>
      <c r="T1" s="1" t="s">
        <v>7</v>
      </c>
      <c r="U1" s="2"/>
      <c r="V1" s="2"/>
      <c r="W1" s="1" t="s">
        <v>8</v>
      </c>
      <c r="X1" s="2"/>
      <c r="Y1" s="2"/>
    </row>
    <row r="2" spans="1:25">
      <c r="A2" s="2"/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13</v>
      </c>
      <c r="I2" s="1" t="s">
        <v>10</v>
      </c>
      <c r="J2" s="1" t="s">
        <v>11</v>
      </c>
      <c r="K2" s="1" t="s">
        <v>14</v>
      </c>
      <c r="L2" s="1" t="s">
        <v>10</v>
      </c>
      <c r="M2" s="1" t="s">
        <v>11</v>
      </c>
      <c r="N2" s="1" t="s">
        <v>14</v>
      </c>
      <c r="O2" s="1" t="s">
        <v>10</v>
      </c>
      <c r="P2" s="1" t="s">
        <v>11</v>
      </c>
      <c r="Q2" s="1" t="s">
        <v>14</v>
      </c>
      <c r="R2" s="1" t="s">
        <v>10</v>
      </c>
      <c r="S2" s="1" t="s">
        <v>11</v>
      </c>
      <c r="T2" s="1" t="s">
        <v>15</v>
      </c>
      <c r="U2" s="1" t="s">
        <v>10</v>
      </c>
      <c r="V2" s="1" t="s">
        <v>11</v>
      </c>
      <c r="W2" s="1" t="s">
        <v>13</v>
      </c>
      <c r="X2" s="1" t="s">
        <v>10</v>
      </c>
      <c r="Y2" s="1" t="s">
        <v>11</v>
      </c>
    </row>
    <row r="3" spans="1:25">
      <c r="A3" s="2" t="s">
        <v>16</v>
      </c>
      <c r="B3" s="3">
        <v>95</v>
      </c>
      <c r="C3" s="4">
        <v>83</v>
      </c>
      <c r="D3" s="5">
        <v>0.1263</v>
      </c>
      <c r="E3" s="6">
        <v>2175</v>
      </c>
      <c r="F3" s="6">
        <v>460</v>
      </c>
      <c r="G3" s="5">
        <v>0.7885</v>
      </c>
      <c r="H3" s="6">
        <v>18414</v>
      </c>
      <c r="I3" s="6">
        <v>18414</v>
      </c>
      <c r="J3" s="5">
        <v>0</v>
      </c>
      <c r="K3" s="6">
        <v>78</v>
      </c>
      <c r="L3" s="6">
        <v>78</v>
      </c>
      <c r="M3" s="5">
        <v>0</v>
      </c>
      <c r="N3" s="6">
        <v>306</v>
      </c>
      <c r="O3" s="6">
        <v>306</v>
      </c>
      <c r="P3" s="5">
        <v>0</v>
      </c>
      <c r="Q3" s="6">
        <v>1505</v>
      </c>
      <c r="R3" s="6">
        <v>1505</v>
      </c>
      <c r="S3" s="5">
        <v>0</v>
      </c>
      <c r="T3" s="6">
        <v>2541</v>
      </c>
      <c r="U3" s="6">
        <v>2541</v>
      </c>
      <c r="V3" s="5">
        <v>0</v>
      </c>
      <c r="W3" s="6">
        <v>13984</v>
      </c>
      <c r="X3" s="6">
        <v>13984</v>
      </c>
      <c r="Y3" s="5">
        <v>0</v>
      </c>
    </row>
    <row r="4" spans="1:25">
      <c r="A4" s="2" t="s">
        <v>17</v>
      </c>
      <c r="B4" s="3">
        <v>60</v>
      </c>
      <c r="C4" s="4">
        <v>60</v>
      </c>
      <c r="D4" s="5">
        <v>0</v>
      </c>
      <c r="E4" s="6">
        <v>529</v>
      </c>
      <c r="F4" s="6">
        <v>91</v>
      </c>
      <c r="G4" s="5">
        <v>0.828</v>
      </c>
      <c r="H4" s="6">
        <v>5009</v>
      </c>
      <c r="I4" s="6">
        <v>5009</v>
      </c>
      <c r="J4" s="5">
        <v>0</v>
      </c>
      <c r="K4" s="6">
        <v>163</v>
      </c>
      <c r="L4" s="6">
        <v>163</v>
      </c>
      <c r="M4" s="5">
        <v>0</v>
      </c>
      <c r="N4" s="6">
        <v>147</v>
      </c>
      <c r="O4" s="6">
        <v>147</v>
      </c>
      <c r="P4" s="5">
        <v>0</v>
      </c>
      <c r="Q4" s="6">
        <v>696</v>
      </c>
      <c r="R4" s="6">
        <v>696</v>
      </c>
      <c r="S4" s="5">
        <v>0</v>
      </c>
      <c r="T4" s="6">
        <v>536</v>
      </c>
      <c r="U4" s="6">
        <v>536</v>
      </c>
      <c r="V4" s="5">
        <v>0</v>
      </c>
      <c r="W4" s="6">
        <v>3467</v>
      </c>
      <c r="X4" s="6">
        <v>3467</v>
      </c>
      <c r="Y4" s="5">
        <v>0</v>
      </c>
    </row>
    <row r="5" spans="1:25">
      <c r="A5" s="2" t="s">
        <v>18</v>
      </c>
      <c r="B5" s="3">
        <v>10</v>
      </c>
      <c r="C5" s="4">
        <v>7</v>
      </c>
      <c r="D5" s="5">
        <v>0.3</v>
      </c>
      <c r="E5" s="6">
        <v>181</v>
      </c>
      <c r="F5" s="6">
        <v>74</v>
      </c>
      <c r="G5" s="5">
        <v>0.5912</v>
      </c>
      <c r="H5" s="6">
        <v>1716</v>
      </c>
      <c r="I5" s="6">
        <v>1716</v>
      </c>
      <c r="J5" s="5">
        <v>0</v>
      </c>
      <c r="K5" s="6">
        <v>65</v>
      </c>
      <c r="L5" s="6">
        <v>65</v>
      </c>
      <c r="M5" s="5">
        <v>0</v>
      </c>
      <c r="N5" s="6">
        <v>30</v>
      </c>
      <c r="O5" s="6">
        <v>30</v>
      </c>
      <c r="P5" s="5">
        <v>0</v>
      </c>
      <c r="Q5" s="6">
        <v>303</v>
      </c>
      <c r="R5" s="6">
        <v>303</v>
      </c>
      <c r="S5" s="5">
        <v>0</v>
      </c>
      <c r="T5" s="6">
        <v>749</v>
      </c>
      <c r="U5" s="6">
        <v>749</v>
      </c>
      <c r="V5" s="5">
        <v>0</v>
      </c>
      <c r="W5" s="6">
        <v>569</v>
      </c>
      <c r="X5" s="6">
        <v>569</v>
      </c>
      <c r="Y5" s="5">
        <v>0</v>
      </c>
    </row>
    <row r="6" spans="1:25">
      <c r="A6" s="2" t="s">
        <v>19</v>
      </c>
      <c r="B6" s="3">
        <v>29</v>
      </c>
      <c r="C6" s="4">
        <v>28</v>
      </c>
      <c r="D6" s="5">
        <v>0.0345</v>
      </c>
      <c r="E6" s="6">
        <v>384</v>
      </c>
      <c r="F6" s="6">
        <v>45</v>
      </c>
      <c r="G6" s="5">
        <v>0.8828</v>
      </c>
      <c r="H6" s="6">
        <v>1547</v>
      </c>
      <c r="I6" s="6">
        <v>1547</v>
      </c>
      <c r="J6" s="5">
        <v>0</v>
      </c>
      <c r="K6" s="6">
        <v>0</v>
      </c>
      <c r="L6" s="6">
        <v>0</v>
      </c>
      <c r="M6" s="5">
        <v>1</v>
      </c>
      <c r="N6" s="6">
        <v>75</v>
      </c>
      <c r="O6" s="6">
        <v>75</v>
      </c>
      <c r="P6" s="5">
        <v>0</v>
      </c>
      <c r="Q6" s="6">
        <v>404</v>
      </c>
      <c r="R6" s="6">
        <v>404</v>
      </c>
      <c r="S6" s="5">
        <v>0</v>
      </c>
      <c r="T6" s="6">
        <v>460</v>
      </c>
      <c r="U6" s="6">
        <v>460</v>
      </c>
      <c r="V6" s="5">
        <v>0</v>
      </c>
      <c r="W6" s="6">
        <v>608</v>
      </c>
      <c r="X6" s="6">
        <v>608</v>
      </c>
      <c r="Y6" s="5">
        <v>0</v>
      </c>
    </row>
    <row r="7" spans="1:25">
      <c r="A7" s="2" t="s">
        <v>20</v>
      </c>
      <c r="B7" s="3">
        <v>26</v>
      </c>
      <c r="C7" s="4">
        <v>23</v>
      </c>
      <c r="D7" s="5">
        <v>0.1154</v>
      </c>
      <c r="E7" s="6">
        <v>249</v>
      </c>
      <c r="F7" s="6">
        <v>249</v>
      </c>
      <c r="G7" s="5">
        <v>0</v>
      </c>
      <c r="H7" s="6">
        <v>696</v>
      </c>
      <c r="I7" s="6">
        <v>696</v>
      </c>
      <c r="J7" s="5">
        <v>0</v>
      </c>
      <c r="K7" s="6">
        <v>0</v>
      </c>
      <c r="L7" s="6">
        <v>0</v>
      </c>
      <c r="M7" s="5">
        <v>1</v>
      </c>
      <c r="N7" s="6">
        <v>52</v>
      </c>
      <c r="O7" s="6">
        <v>52</v>
      </c>
      <c r="P7" s="5">
        <v>0</v>
      </c>
      <c r="Q7" s="6">
        <v>222</v>
      </c>
      <c r="R7" s="6">
        <v>222</v>
      </c>
      <c r="S7" s="5">
        <v>0</v>
      </c>
      <c r="T7" s="6">
        <v>351</v>
      </c>
      <c r="U7" s="6">
        <v>351</v>
      </c>
      <c r="V7" s="5">
        <v>0</v>
      </c>
      <c r="W7" s="6">
        <v>71</v>
      </c>
      <c r="X7" s="6">
        <v>71</v>
      </c>
      <c r="Y7" s="5">
        <v>0</v>
      </c>
    </row>
    <row r="8" spans="1:25">
      <c r="A8" s="2" t="s">
        <v>21</v>
      </c>
      <c r="B8" s="3">
        <v>36</v>
      </c>
      <c r="C8" s="4">
        <v>29</v>
      </c>
      <c r="D8" s="5">
        <v>0.1944</v>
      </c>
      <c r="E8" s="6">
        <v>348</v>
      </c>
      <c r="F8" s="6">
        <v>348</v>
      </c>
      <c r="G8" s="5">
        <v>0</v>
      </c>
      <c r="H8" s="6">
        <v>839</v>
      </c>
      <c r="I8" s="6">
        <v>839</v>
      </c>
      <c r="J8" s="5">
        <v>0</v>
      </c>
      <c r="K8" s="6">
        <v>8</v>
      </c>
      <c r="L8" s="6">
        <v>8</v>
      </c>
      <c r="M8" s="5">
        <v>0</v>
      </c>
      <c r="N8" s="6">
        <v>87</v>
      </c>
      <c r="O8" s="6">
        <v>87</v>
      </c>
      <c r="P8" s="5">
        <v>0</v>
      </c>
      <c r="Q8" s="6">
        <v>299</v>
      </c>
      <c r="R8" s="6">
        <v>299</v>
      </c>
      <c r="S8" s="5">
        <v>0</v>
      </c>
      <c r="T8" s="6">
        <v>321</v>
      </c>
      <c r="U8" s="6">
        <v>321</v>
      </c>
      <c r="V8" s="5">
        <v>0</v>
      </c>
      <c r="W8" s="6">
        <v>124</v>
      </c>
      <c r="X8" s="6">
        <v>124</v>
      </c>
      <c r="Y8" s="5">
        <v>0</v>
      </c>
    </row>
    <row r="9" spans="1:25">
      <c r="A9" s="2" t="s">
        <v>22</v>
      </c>
      <c r="B9" s="3">
        <v>41</v>
      </c>
      <c r="C9" s="4">
        <v>36</v>
      </c>
      <c r="D9" s="5">
        <v>0.122</v>
      </c>
      <c r="E9" s="6">
        <v>435</v>
      </c>
      <c r="F9" s="6">
        <v>435</v>
      </c>
      <c r="G9" s="5">
        <v>0</v>
      </c>
      <c r="H9" s="6">
        <v>8513</v>
      </c>
      <c r="I9" s="6">
        <v>8513</v>
      </c>
      <c r="J9" s="5">
        <v>0</v>
      </c>
      <c r="K9" s="6">
        <v>404</v>
      </c>
      <c r="L9" s="6">
        <v>404</v>
      </c>
      <c r="M9" s="5">
        <v>0</v>
      </c>
      <c r="N9" s="6">
        <v>412</v>
      </c>
      <c r="O9" s="6">
        <v>412</v>
      </c>
      <c r="P9" s="5">
        <v>0</v>
      </c>
      <c r="Q9" s="6">
        <v>721</v>
      </c>
      <c r="R9" s="6">
        <v>721</v>
      </c>
      <c r="S9" s="5">
        <v>0</v>
      </c>
      <c r="T9" s="6">
        <v>733</v>
      </c>
      <c r="U9" s="6">
        <v>733</v>
      </c>
      <c r="V9" s="5">
        <v>0</v>
      </c>
      <c r="W9" s="6">
        <v>6243</v>
      </c>
      <c r="X9" s="6">
        <v>6243</v>
      </c>
      <c r="Y9" s="5">
        <v>0</v>
      </c>
    </row>
    <row r="10" spans="1:25">
      <c r="A10" s="2" t="s">
        <v>23</v>
      </c>
      <c r="B10" s="3">
        <v>4</v>
      </c>
      <c r="C10" s="4">
        <v>3</v>
      </c>
      <c r="D10" s="5">
        <v>0.25</v>
      </c>
      <c r="E10" s="6">
        <v>133</v>
      </c>
      <c r="F10" s="6">
        <v>133</v>
      </c>
      <c r="G10" s="5">
        <v>0</v>
      </c>
      <c r="H10" s="6">
        <v>2257</v>
      </c>
      <c r="I10" s="6">
        <v>2257</v>
      </c>
      <c r="J10" s="5">
        <v>0</v>
      </c>
      <c r="K10" s="6">
        <v>22</v>
      </c>
      <c r="L10" s="6">
        <v>22</v>
      </c>
      <c r="M10" s="5">
        <v>0</v>
      </c>
      <c r="N10" s="6">
        <v>29</v>
      </c>
      <c r="O10" s="6">
        <v>29</v>
      </c>
      <c r="P10" s="5">
        <v>0</v>
      </c>
      <c r="Q10" s="6">
        <v>137</v>
      </c>
      <c r="R10" s="6">
        <v>137</v>
      </c>
      <c r="S10" s="5">
        <v>0</v>
      </c>
      <c r="T10" s="6">
        <v>136</v>
      </c>
      <c r="U10" s="6">
        <v>136</v>
      </c>
      <c r="V10" s="5">
        <v>0</v>
      </c>
      <c r="W10" s="6">
        <v>1933</v>
      </c>
      <c r="X10" s="6">
        <v>1933</v>
      </c>
      <c r="Y10" s="5">
        <v>0</v>
      </c>
    </row>
    <row r="11" spans="1:25">
      <c r="A11" s="2" t="s">
        <v>24</v>
      </c>
      <c r="B11" s="3">
        <v>37</v>
      </c>
      <c r="C11" s="4">
        <v>32</v>
      </c>
      <c r="D11" s="5">
        <v>0.1351</v>
      </c>
      <c r="E11" s="6">
        <v>477</v>
      </c>
      <c r="F11" s="6">
        <v>477</v>
      </c>
      <c r="G11" s="5">
        <v>0</v>
      </c>
      <c r="H11" s="6">
        <v>5716</v>
      </c>
      <c r="I11" s="6">
        <v>5716</v>
      </c>
      <c r="J11" s="5">
        <v>0</v>
      </c>
      <c r="K11" s="6">
        <v>92</v>
      </c>
      <c r="L11" s="6">
        <v>92</v>
      </c>
      <c r="M11" s="5">
        <v>0</v>
      </c>
      <c r="N11" s="6">
        <v>77</v>
      </c>
      <c r="O11" s="6">
        <v>77</v>
      </c>
      <c r="P11" s="5">
        <v>0</v>
      </c>
      <c r="Q11" s="6">
        <v>641</v>
      </c>
      <c r="R11" s="6">
        <v>641</v>
      </c>
      <c r="S11" s="5">
        <v>0</v>
      </c>
      <c r="T11" s="6">
        <v>439</v>
      </c>
      <c r="U11" s="6">
        <v>439</v>
      </c>
      <c r="V11" s="5">
        <v>0</v>
      </c>
      <c r="W11" s="6">
        <v>4467</v>
      </c>
      <c r="X11" s="6">
        <v>4467</v>
      </c>
      <c r="Y11" s="5">
        <v>0</v>
      </c>
    </row>
    <row r="12" spans="1:25">
      <c r="A12" s="2" t="s">
        <v>25</v>
      </c>
      <c r="B12" s="3">
        <v>50</v>
      </c>
      <c r="C12" s="4">
        <v>42</v>
      </c>
      <c r="D12" s="5">
        <v>0.16</v>
      </c>
      <c r="E12" s="6">
        <v>628</v>
      </c>
      <c r="F12" s="6">
        <v>628</v>
      </c>
      <c r="G12" s="5">
        <v>0</v>
      </c>
      <c r="H12" s="6">
        <v>8387</v>
      </c>
      <c r="I12" s="6">
        <v>8387</v>
      </c>
      <c r="J12" s="5">
        <v>0</v>
      </c>
      <c r="K12" s="6">
        <v>158</v>
      </c>
      <c r="L12" s="6">
        <v>158</v>
      </c>
      <c r="M12" s="5">
        <v>0</v>
      </c>
      <c r="N12" s="6">
        <v>151</v>
      </c>
      <c r="O12" s="6">
        <v>151</v>
      </c>
      <c r="P12" s="5">
        <v>0</v>
      </c>
      <c r="Q12" s="6">
        <v>768</v>
      </c>
      <c r="R12" s="6">
        <v>768</v>
      </c>
      <c r="S12" s="5">
        <v>0</v>
      </c>
      <c r="T12" s="6">
        <v>522</v>
      </c>
      <c r="U12" s="6">
        <v>522</v>
      </c>
      <c r="V12" s="5">
        <v>0</v>
      </c>
      <c r="W12" s="6">
        <v>6788</v>
      </c>
      <c r="X12" s="6">
        <v>6788</v>
      </c>
      <c r="Y12" s="5">
        <v>0</v>
      </c>
    </row>
    <row r="13" spans="1:25">
      <c r="A13" s="2" t="s">
        <v>26</v>
      </c>
      <c r="B13" s="3">
        <v>55</v>
      </c>
      <c r="C13" s="4">
        <v>46</v>
      </c>
      <c r="D13" s="5">
        <v>0.1636</v>
      </c>
      <c r="E13" s="6">
        <v>455</v>
      </c>
      <c r="F13" s="6">
        <v>455</v>
      </c>
      <c r="G13" s="5">
        <v>0</v>
      </c>
      <c r="H13" s="6">
        <v>3773</v>
      </c>
      <c r="I13" s="6">
        <v>3773</v>
      </c>
      <c r="J13" s="5">
        <v>0</v>
      </c>
      <c r="K13" s="6">
        <v>40</v>
      </c>
      <c r="L13" s="6">
        <v>40</v>
      </c>
      <c r="M13" s="5">
        <v>0</v>
      </c>
      <c r="N13" s="6">
        <v>94</v>
      </c>
      <c r="O13" s="6">
        <v>94</v>
      </c>
      <c r="P13" s="5">
        <v>0</v>
      </c>
      <c r="Q13" s="6">
        <v>303</v>
      </c>
      <c r="R13" s="6">
        <v>303</v>
      </c>
      <c r="S13" s="5">
        <v>0</v>
      </c>
      <c r="T13" s="6">
        <v>841</v>
      </c>
      <c r="U13" s="6">
        <v>841</v>
      </c>
      <c r="V13" s="5">
        <v>0</v>
      </c>
      <c r="W13" s="6">
        <v>2495</v>
      </c>
      <c r="X13" s="6">
        <v>2495</v>
      </c>
      <c r="Y13" s="5">
        <v>0</v>
      </c>
    </row>
    <row r="14" spans="1:25">
      <c r="A14" s="2" t="s">
        <v>27</v>
      </c>
      <c r="B14" s="3">
        <v>30</v>
      </c>
      <c r="C14" s="4">
        <v>23</v>
      </c>
      <c r="D14" s="5">
        <v>0.2333</v>
      </c>
      <c r="E14" s="6">
        <v>428</v>
      </c>
      <c r="F14" s="6">
        <v>428</v>
      </c>
      <c r="G14" s="5">
        <v>0</v>
      </c>
      <c r="H14" s="6">
        <v>1092</v>
      </c>
      <c r="I14" s="6">
        <v>1092</v>
      </c>
      <c r="J14" s="5">
        <v>0</v>
      </c>
      <c r="K14" s="6">
        <v>16</v>
      </c>
      <c r="L14" s="6">
        <v>16</v>
      </c>
      <c r="M14" s="5">
        <v>0</v>
      </c>
      <c r="N14" s="6">
        <v>74</v>
      </c>
      <c r="O14" s="6">
        <v>74</v>
      </c>
      <c r="P14" s="5">
        <v>0</v>
      </c>
      <c r="Q14" s="6">
        <v>303</v>
      </c>
      <c r="R14" s="6">
        <v>303</v>
      </c>
      <c r="S14" s="5">
        <v>0</v>
      </c>
      <c r="T14" s="6">
        <v>425</v>
      </c>
      <c r="U14" s="6">
        <v>425</v>
      </c>
      <c r="V14" s="5">
        <v>0</v>
      </c>
      <c r="W14" s="6">
        <v>274</v>
      </c>
      <c r="X14" s="6">
        <v>274</v>
      </c>
      <c r="Y14" s="5">
        <v>0</v>
      </c>
    </row>
    <row r="15" spans="1:25">
      <c r="A15" s="2" t="s">
        <v>28</v>
      </c>
      <c r="B15" s="3">
        <v>42</v>
      </c>
      <c r="C15" s="4">
        <v>34</v>
      </c>
      <c r="D15" s="5">
        <v>0.1905</v>
      </c>
      <c r="E15" s="6">
        <v>496</v>
      </c>
      <c r="F15" s="6">
        <v>496</v>
      </c>
      <c r="G15" s="5">
        <v>0</v>
      </c>
      <c r="H15" s="6">
        <v>2680</v>
      </c>
      <c r="I15" s="6">
        <v>2680</v>
      </c>
      <c r="J15" s="5">
        <v>0</v>
      </c>
      <c r="K15" s="6">
        <v>3</v>
      </c>
      <c r="L15" s="6">
        <v>3</v>
      </c>
      <c r="M15" s="5">
        <v>0</v>
      </c>
      <c r="N15" s="6">
        <v>81</v>
      </c>
      <c r="O15" s="6">
        <v>81</v>
      </c>
      <c r="P15" s="5">
        <v>0</v>
      </c>
      <c r="Q15" s="6">
        <v>452</v>
      </c>
      <c r="R15" s="6">
        <v>452</v>
      </c>
      <c r="S15" s="5">
        <v>0</v>
      </c>
      <c r="T15" s="6">
        <v>434</v>
      </c>
      <c r="U15" s="6">
        <v>434</v>
      </c>
      <c r="V15" s="5">
        <v>0</v>
      </c>
      <c r="W15" s="6">
        <v>1710</v>
      </c>
      <c r="X15" s="6">
        <v>1710</v>
      </c>
      <c r="Y15" s="5">
        <v>0</v>
      </c>
    </row>
    <row r="16" spans="1:25">
      <c r="A16" s="2" t="s">
        <v>29</v>
      </c>
      <c r="B16" s="3">
        <v>24</v>
      </c>
      <c r="C16" s="4">
        <v>23</v>
      </c>
      <c r="D16" s="5">
        <v>0.0417</v>
      </c>
      <c r="E16" s="6">
        <v>304</v>
      </c>
      <c r="F16" s="6">
        <v>304</v>
      </c>
      <c r="G16" s="5">
        <v>0</v>
      </c>
      <c r="H16" s="6">
        <v>1463</v>
      </c>
      <c r="I16" s="6">
        <v>1463</v>
      </c>
      <c r="J16" s="5">
        <v>0</v>
      </c>
      <c r="K16" s="6">
        <v>3</v>
      </c>
      <c r="L16" s="6">
        <v>3</v>
      </c>
      <c r="M16" s="5">
        <v>0</v>
      </c>
      <c r="N16" s="6">
        <v>25</v>
      </c>
      <c r="O16" s="6">
        <v>25</v>
      </c>
      <c r="P16" s="5">
        <v>0</v>
      </c>
      <c r="Q16" s="6">
        <v>211</v>
      </c>
      <c r="R16" s="6">
        <v>211</v>
      </c>
      <c r="S16" s="5">
        <v>0</v>
      </c>
      <c r="T16" s="6">
        <v>121</v>
      </c>
      <c r="U16" s="6">
        <v>121</v>
      </c>
      <c r="V16" s="5">
        <v>0</v>
      </c>
      <c r="W16" s="6">
        <v>1103</v>
      </c>
      <c r="X16" s="6">
        <v>1103</v>
      </c>
      <c r="Y16" s="5">
        <v>0</v>
      </c>
    </row>
    <row r="17" spans="1:25">
      <c r="A17" s="2" t="s">
        <v>30</v>
      </c>
      <c r="B17" s="3">
        <v>79</v>
      </c>
      <c r="C17" s="4">
        <v>70</v>
      </c>
      <c r="D17" s="5">
        <v>0.1139</v>
      </c>
      <c r="E17" s="6">
        <v>743</v>
      </c>
      <c r="F17" s="6">
        <v>743</v>
      </c>
      <c r="G17" s="5">
        <v>0</v>
      </c>
      <c r="H17" s="6">
        <v>11497</v>
      </c>
      <c r="I17" s="6">
        <v>11497</v>
      </c>
      <c r="J17" s="5">
        <v>0</v>
      </c>
      <c r="K17" s="6">
        <v>0</v>
      </c>
      <c r="L17" s="6">
        <v>0</v>
      </c>
      <c r="M17" s="5">
        <v>1</v>
      </c>
      <c r="N17" s="6">
        <v>222</v>
      </c>
      <c r="O17" s="6">
        <v>222</v>
      </c>
      <c r="P17" s="5">
        <v>0</v>
      </c>
      <c r="Q17" s="6">
        <v>1549</v>
      </c>
      <c r="R17" s="6">
        <v>1549</v>
      </c>
      <c r="S17" s="5">
        <v>0</v>
      </c>
      <c r="T17" s="6">
        <v>1529</v>
      </c>
      <c r="U17" s="6">
        <v>1529</v>
      </c>
      <c r="V17" s="5">
        <v>0</v>
      </c>
      <c r="W17" s="6">
        <v>8197</v>
      </c>
      <c r="X17" s="6">
        <v>8197</v>
      </c>
      <c r="Y17" s="5">
        <v>0</v>
      </c>
    </row>
    <row r="18" spans="1:25">
      <c r="A18" s="2" t="s">
        <v>31</v>
      </c>
      <c r="B18" s="3">
        <v>26</v>
      </c>
      <c r="C18" s="4">
        <v>24</v>
      </c>
      <c r="D18" s="5">
        <v>0.0769</v>
      </c>
      <c r="E18" s="6">
        <v>195</v>
      </c>
      <c r="F18" s="6">
        <v>195</v>
      </c>
      <c r="G18" s="5">
        <v>0</v>
      </c>
      <c r="H18" s="6">
        <v>1567</v>
      </c>
      <c r="I18" s="6">
        <v>1566</v>
      </c>
      <c r="J18" s="5">
        <v>0.0006</v>
      </c>
      <c r="K18" s="6">
        <v>14</v>
      </c>
      <c r="L18" s="6">
        <v>14</v>
      </c>
      <c r="M18" s="5">
        <v>0</v>
      </c>
      <c r="N18" s="6">
        <v>32</v>
      </c>
      <c r="O18" s="6">
        <v>32</v>
      </c>
      <c r="P18" s="5">
        <v>0</v>
      </c>
      <c r="Q18" s="6">
        <v>172</v>
      </c>
      <c r="R18" s="6">
        <v>172</v>
      </c>
      <c r="S18" s="5">
        <v>0</v>
      </c>
      <c r="T18" s="6">
        <v>190</v>
      </c>
      <c r="U18" s="6">
        <v>190</v>
      </c>
      <c r="V18" s="5">
        <v>0</v>
      </c>
      <c r="W18" s="6">
        <v>1159</v>
      </c>
      <c r="X18" s="6">
        <v>1158</v>
      </c>
      <c r="Y18" s="5">
        <v>0.0009</v>
      </c>
    </row>
    <row r="19" spans="1:25">
      <c r="A19" s="2" t="s">
        <v>32</v>
      </c>
      <c r="B19" s="3">
        <v>61</v>
      </c>
      <c r="C19" s="4">
        <v>61</v>
      </c>
      <c r="D19" s="5">
        <v>0</v>
      </c>
      <c r="E19" s="6">
        <v>531</v>
      </c>
      <c r="F19" s="6">
        <v>531</v>
      </c>
      <c r="G19" s="5">
        <v>0</v>
      </c>
      <c r="H19" s="6">
        <v>8142</v>
      </c>
      <c r="I19" s="6">
        <v>8142</v>
      </c>
      <c r="J19" s="5">
        <v>0</v>
      </c>
      <c r="K19" s="6">
        <v>101</v>
      </c>
      <c r="L19" s="6">
        <v>101</v>
      </c>
      <c r="M19" s="5">
        <v>0</v>
      </c>
      <c r="N19" s="6">
        <v>115</v>
      </c>
      <c r="O19" s="6">
        <v>115</v>
      </c>
      <c r="P19" s="5">
        <v>0</v>
      </c>
      <c r="Q19" s="6">
        <v>463</v>
      </c>
      <c r="R19" s="6">
        <v>463</v>
      </c>
      <c r="S19" s="5">
        <v>0</v>
      </c>
      <c r="T19" s="6">
        <v>571</v>
      </c>
      <c r="U19" s="6">
        <v>571</v>
      </c>
      <c r="V19" s="5">
        <v>0</v>
      </c>
      <c r="W19" s="6">
        <v>6892</v>
      </c>
      <c r="X19" s="6">
        <v>6892</v>
      </c>
      <c r="Y19" s="5">
        <v>0</v>
      </c>
    </row>
    <row r="20" spans="1:25">
      <c r="A20" s="2" t="s">
        <v>33</v>
      </c>
      <c r="B20" s="3">
        <v>14</v>
      </c>
      <c r="C20" s="4">
        <v>11</v>
      </c>
      <c r="D20" s="5">
        <v>0.2143</v>
      </c>
      <c r="E20" s="6">
        <v>177</v>
      </c>
      <c r="F20" s="6">
        <v>177</v>
      </c>
      <c r="G20" s="5">
        <v>0</v>
      </c>
      <c r="H20" s="6">
        <v>6140</v>
      </c>
      <c r="I20" s="6">
        <v>6140</v>
      </c>
      <c r="J20" s="5">
        <v>0</v>
      </c>
      <c r="K20" s="6">
        <v>44</v>
      </c>
      <c r="L20" s="6">
        <v>44</v>
      </c>
      <c r="M20" s="5">
        <v>0</v>
      </c>
      <c r="N20" s="6">
        <v>37</v>
      </c>
      <c r="O20" s="6">
        <v>37</v>
      </c>
      <c r="P20" s="5">
        <v>0</v>
      </c>
      <c r="Q20" s="6">
        <v>1681</v>
      </c>
      <c r="R20" s="6">
        <v>1681</v>
      </c>
      <c r="S20" s="5">
        <v>0</v>
      </c>
      <c r="T20" s="6">
        <v>171</v>
      </c>
      <c r="U20" s="6">
        <v>171</v>
      </c>
      <c r="V20" s="5">
        <v>0</v>
      </c>
      <c r="W20" s="6">
        <v>4207</v>
      </c>
      <c r="X20" s="6">
        <v>4207</v>
      </c>
      <c r="Y20" s="5">
        <v>0</v>
      </c>
    </row>
    <row r="21" spans="1:25">
      <c r="A21" s="2" t="s">
        <v>34</v>
      </c>
      <c r="B21" s="3">
        <v>13</v>
      </c>
      <c r="C21" s="4">
        <v>13</v>
      </c>
      <c r="D21" s="5">
        <v>0</v>
      </c>
      <c r="E21" s="6">
        <v>111</v>
      </c>
      <c r="F21" s="6">
        <v>111</v>
      </c>
      <c r="G21" s="5">
        <v>0</v>
      </c>
      <c r="H21" s="6">
        <v>737</v>
      </c>
      <c r="I21" s="6">
        <v>737</v>
      </c>
      <c r="J21" s="5">
        <v>0</v>
      </c>
      <c r="K21" s="6">
        <v>0</v>
      </c>
      <c r="L21" s="6">
        <v>0</v>
      </c>
      <c r="M21" s="5">
        <v>1</v>
      </c>
      <c r="N21" s="6">
        <v>27</v>
      </c>
      <c r="O21" s="6">
        <v>27</v>
      </c>
      <c r="P21" s="5">
        <v>0</v>
      </c>
      <c r="Q21" s="6">
        <v>81</v>
      </c>
      <c r="R21" s="6">
        <v>81</v>
      </c>
      <c r="S21" s="5">
        <v>0</v>
      </c>
      <c r="T21" s="6">
        <v>149</v>
      </c>
      <c r="U21" s="6">
        <v>149</v>
      </c>
      <c r="V21" s="5">
        <v>0</v>
      </c>
      <c r="W21" s="6">
        <v>480</v>
      </c>
      <c r="X21" s="6">
        <v>480</v>
      </c>
      <c r="Y21" s="5">
        <v>0</v>
      </c>
    </row>
    <row r="22" spans="1:25">
      <c r="A22" s="2" t="s">
        <v>35</v>
      </c>
      <c r="B22" s="3">
        <v>65</v>
      </c>
      <c r="C22" s="4">
        <v>57</v>
      </c>
      <c r="D22" s="5">
        <v>0.1231</v>
      </c>
      <c r="E22" s="6">
        <v>1012</v>
      </c>
      <c r="F22" s="6">
        <v>1012</v>
      </c>
      <c r="G22" s="5">
        <v>0</v>
      </c>
      <c r="H22" s="6">
        <v>6205</v>
      </c>
      <c r="I22" s="6">
        <v>6205</v>
      </c>
      <c r="J22" s="5">
        <v>0</v>
      </c>
      <c r="K22" s="6">
        <v>30</v>
      </c>
      <c r="L22" s="6">
        <v>30</v>
      </c>
      <c r="M22" s="5">
        <v>0</v>
      </c>
      <c r="N22" s="6">
        <v>172</v>
      </c>
      <c r="O22" s="6">
        <v>172</v>
      </c>
      <c r="P22" s="5">
        <v>0</v>
      </c>
      <c r="Q22" s="6">
        <v>751</v>
      </c>
      <c r="R22" s="6">
        <v>751</v>
      </c>
      <c r="S22" s="5">
        <v>0</v>
      </c>
      <c r="T22" s="6">
        <v>720</v>
      </c>
      <c r="U22" s="6">
        <v>720</v>
      </c>
      <c r="V22" s="5">
        <v>0</v>
      </c>
      <c r="W22" s="6">
        <v>4532</v>
      </c>
      <c r="X22" s="6">
        <v>4532</v>
      </c>
      <c r="Y22" s="5">
        <v>0</v>
      </c>
    </row>
    <row r="23" spans="1:25">
      <c r="A23" s="2" t="s">
        <v>36</v>
      </c>
      <c r="B23" s="3">
        <v>30</v>
      </c>
      <c r="C23" s="4">
        <v>26</v>
      </c>
      <c r="D23" s="5">
        <v>0.1333</v>
      </c>
      <c r="E23" s="6">
        <v>321</v>
      </c>
      <c r="F23" s="6">
        <v>321</v>
      </c>
      <c r="G23" s="5">
        <v>0</v>
      </c>
      <c r="H23" s="6">
        <v>3279</v>
      </c>
      <c r="I23" s="6">
        <v>3279</v>
      </c>
      <c r="J23" s="5">
        <v>0</v>
      </c>
      <c r="K23" s="6">
        <v>72</v>
      </c>
      <c r="L23" s="6">
        <v>72</v>
      </c>
      <c r="M23" s="5">
        <v>0</v>
      </c>
      <c r="N23" s="6">
        <v>91</v>
      </c>
      <c r="O23" s="6">
        <v>91</v>
      </c>
      <c r="P23" s="5">
        <v>0</v>
      </c>
      <c r="Q23" s="6">
        <v>404</v>
      </c>
      <c r="R23" s="6">
        <v>404</v>
      </c>
      <c r="S23" s="5">
        <v>0</v>
      </c>
      <c r="T23" s="6">
        <v>727</v>
      </c>
      <c r="U23" s="6">
        <v>727</v>
      </c>
      <c r="V23" s="5">
        <v>0</v>
      </c>
      <c r="W23" s="6">
        <v>1985</v>
      </c>
      <c r="X23" s="6">
        <v>1985</v>
      </c>
      <c r="Y23" s="5">
        <v>0</v>
      </c>
    </row>
    <row r="24" spans="1:25">
      <c r="A24" s="2" t="s">
        <v>37</v>
      </c>
      <c r="B24" s="3">
        <v>60</v>
      </c>
      <c r="C24" s="4">
        <v>57</v>
      </c>
      <c r="D24" s="5">
        <v>0.05</v>
      </c>
      <c r="E24" s="6">
        <v>347</v>
      </c>
      <c r="F24" s="6">
        <v>347</v>
      </c>
      <c r="G24" s="5">
        <v>0</v>
      </c>
      <c r="H24" s="6">
        <v>2795</v>
      </c>
      <c r="I24" s="6">
        <v>2795</v>
      </c>
      <c r="J24" s="5">
        <v>0</v>
      </c>
      <c r="K24" s="6">
        <v>65</v>
      </c>
      <c r="L24" s="6">
        <v>65</v>
      </c>
      <c r="M24" s="5">
        <v>0</v>
      </c>
      <c r="N24" s="6">
        <v>103</v>
      </c>
      <c r="O24" s="6">
        <v>103</v>
      </c>
      <c r="P24" s="5">
        <v>0</v>
      </c>
      <c r="Q24" s="6">
        <v>433</v>
      </c>
      <c r="R24" s="6">
        <v>433</v>
      </c>
      <c r="S24" s="5">
        <v>0</v>
      </c>
      <c r="T24" s="6">
        <v>444</v>
      </c>
      <c r="U24" s="6">
        <v>444</v>
      </c>
      <c r="V24" s="5">
        <v>0</v>
      </c>
      <c r="W24" s="6">
        <v>1750</v>
      </c>
      <c r="X24" s="6">
        <v>1750</v>
      </c>
      <c r="Y24" s="5">
        <v>0</v>
      </c>
    </row>
    <row r="25" spans="1:25">
      <c r="A25" s="2" t="s">
        <v>38</v>
      </c>
      <c r="B25" s="3">
        <v>22</v>
      </c>
      <c r="C25" s="4">
        <v>20</v>
      </c>
      <c r="D25" s="5">
        <v>0.0909</v>
      </c>
      <c r="E25" s="6">
        <v>510</v>
      </c>
      <c r="F25" s="6">
        <v>510</v>
      </c>
      <c r="G25" s="5">
        <v>0</v>
      </c>
      <c r="H25" s="6">
        <v>6164</v>
      </c>
      <c r="I25" s="6">
        <v>6164</v>
      </c>
      <c r="J25" s="5">
        <v>0</v>
      </c>
      <c r="K25" s="6">
        <v>101</v>
      </c>
      <c r="L25" s="6">
        <v>101</v>
      </c>
      <c r="M25" s="5">
        <v>0</v>
      </c>
      <c r="N25" s="6">
        <v>78</v>
      </c>
      <c r="O25" s="6">
        <v>78</v>
      </c>
      <c r="P25" s="5">
        <v>0</v>
      </c>
      <c r="Q25" s="6">
        <v>337</v>
      </c>
      <c r="R25" s="6">
        <v>337</v>
      </c>
      <c r="S25" s="5">
        <v>0</v>
      </c>
      <c r="T25" s="6">
        <v>144</v>
      </c>
      <c r="U25" s="6">
        <v>144</v>
      </c>
      <c r="V25" s="5">
        <v>0</v>
      </c>
      <c r="W25" s="6">
        <v>5504</v>
      </c>
      <c r="X25" s="6">
        <v>5504</v>
      </c>
      <c r="Y25" s="5">
        <v>0</v>
      </c>
    </row>
    <row r="26" spans="1:25">
      <c r="A26" s="2" t="s">
        <v>39</v>
      </c>
      <c r="B26" s="3">
        <v>67</v>
      </c>
      <c r="C26" s="4">
        <v>60</v>
      </c>
      <c r="D26" s="5">
        <v>0.1045</v>
      </c>
      <c r="E26" s="6">
        <v>695</v>
      </c>
      <c r="F26" s="6">
        <v>695</v>
      </c>
      <c r="G26" s="5">
        <v>0</v>
      </c>
      <c r="H26" s="6">
        <v>6620</v>
      </c>
      <c r="I26" s="6">
        <v>6620</v>
      </c>
      <c r="J26" s="5">
        <v>0</v>
      </c>
      <c r="K26" s="6">
        <v>75</v>
      </c>
      <c r="L26" s="6">
        <v>75</v>
      </c>
      <c r="M26" s="5">
        <v>0</v>
      </c>
      <c r="N26" s="6">
        <v>141</v>
      </c>
      <c r="O26" s="6">
        <v>141</v>
      </c>
      <c r="P26" s="5">
        <v>0</v>
      </c>
      <c r="Q26" s="6">
        <v>678</v>
      </c>
      <c r="R26" s="6">
        <v>678</v>
      </c>
      <c r="S26" s="5">
        <v>0</v>
      </c>
      <c r="T26" s="6">
        <v>1142</v>
      </c>
      <c r="U26" s="6">
        <v>1142</v>
      </c>
      <c r="V26" s="5">
        <v>0</v>
      </c>
      <c r="W26" s="6">
        <v>4584</v>
      </c>
      <c r="X26" s="6">
        <v>4584</v>
      </c>
      <c r="Y26" s="5">
        <v>0</v>
      </c>
    </row>
    <row r="27" spans="1:25">
      <c r="A27" s="2" t="s">
        <v>40</v>
      </c>
      <c r="B27" s="3">
        <v>8</v>
      </c>
      <c r="C27" s="4">
        <v>8</v>
      </c>
      <c r="D27" s="5">
        <v>0</v>
      </c>
      <c r="E27" s="6">
        <v>189</v>
      </c>
      <c r="F27" s="6">
        <v>189</v>
      </c>
      <c r="G27" s="5">
        <v>0</v>
      </c>
      <c r="H27" s="6">
        <v>2828</v>
      </c>
      <c r="I27" s="6">
        <v>2828</v>
      </c>
      <c r="J27" s="5">
        <v>0</v>
      </c>
      <c r="K27" s="6">
        <v>0</v>
      </c>
      <c r="L27" s="6">
        <v>0</v>
      </c>
      <c r="M27" s="5">
        <v>1</v>
      </c>
      <c r="N27" s="6">
        <v>18</v>
      </c>
      <c r="O27" s="6">
        <v>18</v>
      </c>
      <c r="P27" s="5">
        <v>0</v>
      </c>
      <c r="Q27" s="6">
        <v>232</v>
      </c>
      <c r="R27" s="6">
        <v>232</v>
      </c>
      <c r="S27" s="5">
        <v>0</v>
      </c>
      <c r="T27" s="6">
        <v>70</v>
      </c>
      <c r="U27" s="6">
        <v>70</v>
      </c>
      <c r="V27" s="5">
        <v>0</v>
      </c>
      <c r="W27" s="6">
        <v>2508</v>
      </c>
      <c r="X27" s="6">
        <v>2508</v>
      </c>
      <c r="Y27" s="5">
        <v>0</v>
      </c>
    </row>
    <row r="28" spans="1:25">
      <c r="A28" s="2" t="s">
        <v>41</v>
      </c>
      <c r="B28" s="3">
        <v>9</v>
      </c>
      <c r="C28" s="4">
        <v>9</v>
      </c>
      <c r="D28" s="5">
        <v>0</v>
      </c>
      <c r="E28" s="6">
        <v>54</v>
      </c>
      <c r="F28" s="6">
        <v>54</v>
      </c>
      <c r="G28" s="5">
        <v>0</v>
      </c>
      <c r="H28" s="6">
        <v>187</v>
      </c>
      <c r="I28" s="6">
        <v>187</v>
      </c>
      <c r="J28" s="5">
        <v>0</v>
      </c>
      <c r="K28" s="6">
        <v>0</v>
      </c>
      <c r="L28" s="6">
        <v>0</v>
      </c>
      <c r="M28" s="5">
        <v>1</v>
      </c>
      <c r="N28" s="6">
        <v>16</v>
      </c>
      <c r="O28" s="6">
        <v>16</v>
      </c>
      <c r="P28" s="5">
        <v>0</v>
      </c>
      <c r="Q28" s="6">
        <v>49</v>
      </c>
      <c r="R28" s="6">
        <v>49</v>
      </c>
      <c r="S28" s="5">
        <v>0</v>
      </c>
      <c r="T28" s="6">
        <v>47</v>
      </c>
      <c r="U28" s="6">
        <v>47</v>
      </c>
      <c r="V28" s="5">
        <v>0</v>
      </c>
      <c r="W28" s="6">
        <v>75</v>
      </c>
      <c r="X28" s="6">
        <v>75</v>
      </c>
      <c r="Y28" s="5">
        <v>0</v>
      </c>
    </row>
    <row r="29" spans="1:25">
      <c r="A29" s="2" t="s">
        <v>42</v>
      </c>
      <c r="B29" s="3">
        <v>37</v>
      </c>
      <c r="C29" s="4">
        <v>29</v>
      </c>
      <c r="D29" s="5">
        <v>0.2162</v>
      </c>
      <c r="E29" s="6">
        <v>403</v>
      </c>
      <c r="F29" s="6">
        <v>403</v>
      </c>
      <c r="G29" s="5">
        <v>0</v>
      </c>
      <c r="H29" s="6">
        <v>4194</v>
      </c>
      <c r="I29" s="6">
        <v>4194</v>
      </c>
      <c r="J29" s="5">
        <v>0</v>
      </c>
      <c r="K29" s="6">
        <v>0</v>
      </c>
      <c r="L29" s="6">
        <v>0</v>
      </c>
      <c r="M29" s="5">
        <v>1</v>
      </c>
      <c r="N29" s="6">
        <v>86</v>
      </c>
      <c r="O29" s="6">
        <v>86</v>
      </c>
      <c r="P29" s="5">
        <v>0</v>
      </c>
      <c r="Q29" s="6">
        <v>546</v>
      </c>
      <c r="R29" s="6">
        <v>546</v>
      </c>
      <c r="S29" s="5">
        <v>0</v>
      </c>
      <c r="T29" s="6">
        <v>375</v>
      </c>
      <c r="U29" s="6">
        <v>375</v>
      </c>
      <c r="V29" s="5">
        <v>0</v>
      </c>
      <c r="W29" s="6">
        <v>3187</v>
      </c>
      <c r="X29" s="6">
        <v>3187</v>
      </c>
      <c r="Y29" s="5">
        <v>0</v>
      </c>
    </row>
    <row r="30" spans="1:25">
      <c r="A30" s="2" t="s">
        <v>43</v>
      </c>
      <c r="B30" s="3">
        <v>36</v>
      </c>
      <c r="C30" s="4">
        <v>31</v>
      </c>
      <c r="D30" s="5">
        <v>0.1389</v>
      </c>
      <c r="E30" s="6">
        <v>291</v>
      </c>
      <c r="F30" s="6">
        <v>291</v>
      </c>
      <c r="G30" s="5">
        <v>0</v>
      </c>
      <c r="H30" s="6">
        <v>3381</v>
      </c>
      <c r="I30" s="6">
        <v>3381</v>
      </c>
      <c r="J30" s="5">
        <v>0</v>
      </c>
      <c r="K30" s="6">
        <v>31</v>
      </c>
      <c r="L30" s="6">
        <v>31</v>
      </c>
      <c r="M30" s="5">
        <v>0</v>
      </c>
      <c r="N30" s="6">
        <v>78</v>
      </c>
      <c r="O30" s="6">
        <v>78</v>
      </c>
      <c r="P30" s="5">
        <v>0</v>
      </c>
      <c r="Q30" s="6">
        <v>373</v>
      </c>
      <c r="R30" s="6">
        <v>373</v>
      </c>
      <c r="S30" s="5">
        <v>0</v>
      </c>
      <c r="T30" s="6">
        <v>1033</v>
      </c>
      <c r="U30" s="6">
        <v>1033</v>
      </c>
      <c r="V30" s="5">
        <v>0</v>
      </c>
      <c r="W30" s="6">
        <v>1866</v>
      </c>
      <c r="X30" s="6">
        <v>1866</v>
      </c>
      <c r="Y30" s="5">
        <v>0</v>
      </c>
    </row>
    <row r="31" spans="1:25">
      <c r="A31" s="2" t="s">
        <v>44</v>
      </c>
      <c r="B31" s="3">
        <v>56</v>
      </c>
      <c r="C31" s="4">
        <v>52</v>
      </c>
      <c r="D31" s="5">
        <v>0.0714</v>
      </c>
      <c r="E31" s="6">
        <v>612</v>
      </c>
      <c r="F31" s="6">
        <v>611</v>
      </c>
      <c r="G31" s="5">
        <v>0.0016</v>
      </c>
      <c r="H31" s="6">
        <v>15857</v>
      </c>
      <c r="I31" s="6">
        <v>15857</v>
      </c>
      <c r="J31" s="5">
        <v>0</v>
      </c>
      <c r="K31" s="6">
        <v>281</v>
      </c>
      <c r="L31" s="6">
        <v>281</v>
      </c>
      <c r="M31" s="5">
        <v>0</v>
      </c>
      <c r="N31" s="6">
        <v>179</v>
      </c>
      <c r="O31" s="6">
        <v>179</v>
      </c>
      <c r="P31" s="5">
        <v>0</v>
      </c>
      <c r="Q31" s="6">
        <v>736</v>
      </c>
      <c r="R31" s="6">
        <v>736</v>
      </c>
      <c r="S31" s="5">
        <v>0</v>
      </c>
      <c r="T31" s="6">
        <v>486</v>
      </c>
      <c r="U31" s="6">
        <v>486</v>
      </c>
      <c r="V31" s="5">
        <v>0</v>
      </c>
      <c r="W31" s="6">
        <v>14175</v>
      </c>
      <c r="X31" s="6">
        <v>14175</v>
      </c>
      <c r="Y31" s="5">
        <v>0</v>
      </c>
    </row>
    <row r="32" spans="1:25">
      <c r="A32" s="2" t="s">
        <v>45</v>
      </c>
      <c r="B32" s="3">
        <v>17</v>
      </c>
      <c r="C32" s="4">
        <v>15</v>
      </c>
      <c r="D32" s="5">
        <v>0.1176</v>
      </c>
      <c r="E32" s="6">
        <v>822</v>
      </c>
      <c r="F32" s="6">
        <v>822</v>
      </c>
      <c r="G32" s="5">
        <v>0</v>
      </c>
      <c r="H32" s="6">
        <v>7626</v>
      </c>
      <c r="I32" s="6">
        <v>7626</v>
      </c>
      <c r="J32" s="5">
        <v>0</v>
      </c>
      <c r="K32" s="6">
        <v>100</v>
      </c>
      <c r="L32" s="6">
        <v>100</v>
      </c>
      <c r="M32" s="5">
        <v>0</v>
      </c>
      <c r="N32" s="6">
        <v>117</v>
      </c>
      <c r="O32" s="6">
        <v>117</v>
      </c>
      <c r="P32" s="5">
        <v>0</v>
      </c>
      <c r="Q32" s="6">
        <v>426</v>
      </c>
      <c r="R32" s="6">
        <v>426</v>
      </c>
      <c r="S32" s="5">
        <v>0</v>
      </c>
      <c r="T32" s="6">
        <v>324</v>
      </c>
      <c r="U32" s="6">
        <v>324</v>
      </c>
      <c r="V32" s="5">
        <v>0</v>
      </c>
      <c r="W32" s="6">
        <v>6659</v>
      </c>
      <c r="X32" s="6">
        <v>6659</v>
      </c>
      <c r="Y32" s="5">
        <v>0</v>
      </c>
    </row>
    <row r="33" spans="1:25">
      <c r="A33" s="2" t="s">
        <v>46</v>
      </c>
      <c r="B33" s="3">
        <v>46</v>
      </c>
      <c r="C33" s="4">
        <v>40</v>
      </c>
      <c r="D33" s="5">
        <v>0.1304</v>
      </c>
      <c r="E33" s="6">
        <v>366</v>
      </c>
      <c r="F33" s="6">
        <v>366</v>
      </c>
      <c r="G33" s="5">
        <v>0</v>
      </c>
      <c r="H33" s="6">
        <v>1581</v>
      </c>
      <c r="I33" s="6">
        <v>1581</v>
      </c>
      <c r="J33" s="5">
        <v>0</v>
      </c>
      <c r="K33" s="6">
        <v>2</v>
      </c>
      <c r="L33" s="6">
        <v>2</v>
      </c>
      <c r="M33" s="5">
        <v>0</v>
      </c>
      <c r="N33" s="6">
        <v>83</v>
      </c>
      <c r="O33" s="6">
        <v>83</v>
      </c>
      <c r="P33" s="5">
        <v>0</v>
      </c>
      <c r="Q33" s="6">
        <v>299</v>
      </c>
      <c r="R33" s="6">
        <v>299</v>
      </c>
      <c r="S33" s="5">
        <v>0</v>
      </c>
      <c r="T33" s="6">
        <v>581</v>
      </c>
      <c r="U33" s="6">
        <v>581</v>
      </c>
      <c r="V33" s="5">
        <v>0</v>
      </c>
      <c r="W33" s="6">
        <v>616</v>
      </c>
      <c r="X33" s="6">
        <v>616</v>
      </c>
      <c r="Y33" s="5">
        <v>0</v>
      </c>
    </row>
    <row r="34" spans="1:25">
      <c r="A34" s="2" t="s">
        <v>47</v>
      </c>
      <c r="B34" s="3">
        <v>8</v>
      </c>
      <c r="C34" s="4">
        <v>8</v>
      </c>
      <c r="D34" s="5">
        <v>0</v>
      </c>
      <c r="E34" s="6">
        <v>156</v>
      </c>
      <c r="F34" s="6">
        <v>156</v>
      </c>
      <c r="G34" s="5">
        <v>0</v>
      </c>
      <c r="H34" s="6">
        <v>2481</v>
      </c>
      <c r="I34" s="6">
        <v>2481</v>
      </c>
      <c r="J34" s="5">
        <v>0</v>
      </c>
      <c r="K34" s="6">
        <v>32</v>
      </c>
      <c r="L34" s="6">
        <v>32</v>
      </c>
      <c r="M34" s="5">
        <v>0</v>
      </c>
      <c r="N34" s="6">
        <v>42</v>
      </c>
      <c r="O34" s="6">
        <v>42</v>
      </c>
      <c r="P34" s="5">
        <v>0</v>
      </c>
      <c r="Q34" s="6">
        <v>331</v>
      </c>
      <c r="R34" s="6">
        <v>331</v>
      </c>
      <c r="S34" s="5">
        <v>0</v>
      </c>
      <c r="T34" s="6">
        <v>74</v>
      </c>
      <c r="U34" s="6">
        <v>74</v>
      </c>
      <c r="V34" s="5">
        <v>0</v>
      </c>
      <c r="W34" s="6">
        <v>2002</v>
      </c>
      <c r="X34" s="6">
        <v>2002</v>
      </c>
      <c r="Y34" s="5">
        <v>0</v>
      </c>
    </row>
    <row r="36" spans="1:25">
      <c r="B36">
        <f>SUM(B3:B34)</f>
        <v>1193</v>
      </c>
      <c r="C36">
        <f t="shared" ref="C36:U36" si="0">SUM(C3:C34)</f>
        <v>1060</v>
      </c>
      <c r="D36">
        <f t="shared" si="0"/>
        <v>3.6482</v>
      </c>
      <c r="E36">
        <f t="shared" si="0"/>
        <v>14757</v>
      </c>
      <c r="F36">
        <f t="shared" si="0"/>
        <v>12157</v>
      </c>
      <c r="G36">
        <f t="shared" si="0"/>
        <v>3.0921</v>
      </c>
      <c r="H36">
        <f t="shared" si="0"/>
        <v>153383</v>
      </c>
      <c r="I36">
        <f t="shared" si="0"/>
        <v>153382</v>
      </c>
      <c r="J36">
        <f t="shared" si="0"/>
        <v>0.0006</v>
      </c>
      <c r="K36">
        <f t="shared" si="0"/>
        <v>2000</v>
      </c>
      <c r="L36">
        <f t="shared" si="0"/>
        <v>2000</v>
      </c>
      <c r="M36">
        <f t="shared" si="0"/>
        <v>7</v>
      </c>
      <c r="N36">
        <f t="shared" si="0"/>
        <v>3277</v>
      </c>
      <c r="O36">
        <f t="shared" si="0"/>
        <v>3277</v>
      </c>
      <c r="P36">
        <f t="shared" si="0"/>
        <v>0</v>
      </c>
      <c r="Q36">
        <f t="shared" si="0"/>
        <v>16506</v>
      </c>
      <c r="R36">
        <f t="shared" si="0"/>
        <v>16506</v>
      </c>
      <c r="S36">
        <f t="shared" si="0"/>
        <v>0</v>
      </c>
      <c r="T36">
        <f t="shared" si="0"/>
        <v>17386</v>
      </c>
      <c r="U36">
        <f t="shared" si="0"/>
        <v>17386</v>
      </c>
      <c r="V36">
        <f>SUM(V3:V34)</f>
        <v>0</v>
      </c>
      <c r="W36">
        <f>SUM(W3:W34)</f>
        <v>114214</v>
      </c>
      <c r="X36">
        <f>SUM(X3:X34)</f>
        <v>114213</v>
      </c>
      <c r="Y36">
        <f>SUM(Y3:Y34)</f>
        <v>0.0009</v>
      </c>
    </row>
    <row r="38" spans="1:25">
      <c r="B38">
        <v>1193</v>
      </c>
      <c r="C38">
        <v>1050</v>
      </c>
      <c r="F38">
        <v>12507</v>
      </c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2025-11-23T13:11:00Z</dcterms:created>
  <dcterms:modified xsi:type="dcterms:W3CDTF">2025-11-23T14:00:53Z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40DEB1E5A05545DF80B0CD8A80FFAA75_12</vt:lpwstr>
  </property>
  <property fmtid="{D5CDD505-2E9C-101B-9397-08002B2CF9AE}" pid="3" name="KSOProductBuildVer">
    <vt:lpwstr>2052-12.1.0.23542</vt:lpwstr>
  </property>
</Properties>
</file>